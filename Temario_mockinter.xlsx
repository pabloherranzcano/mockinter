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Temario" sheetId="2" state="visible" r:id="rId4"/>
    <sheet name="Preguntas" sheetId="3" state="visible" r:id="rId5"/>
  </sheets>
  <definedNames>
    <definedName function="false" hidden="true" localSheetId="2" name="_xlnm._FilterDatabase" vbProcedure="false">Preguntas!$A$1:$T$436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<sst xmlns="http://schemas.openxmlformats.org/spreadsheetml/2006/main" count="5983" uniqueCount="3227">
  <si>
    <t xml:space="preserve">Temario de mockinter.dev</t>
  </si>
  <si>
    <t xml:space="preserve">Banco de preguntas tipo test por bloque, tema y nivel. Revisa, edita y activa las que quieras que use la app.</t>
  </si>
  <si>
    <t xml:space="preserve">Cómo está organizado</t>
  </si>
  <si>
    <t xml:space="preserve">Bloques</t>
  </si>
  <si>
    <t xml:space="preserve">Cada puesto (Angular, React, Cloud/DevOps, Backend) tiene sus temas. Además hay bloques compartidos: «Frontend (Angular y React)», «Desarrollo» (Git y Docker, para todos los puestos técnicos) y «Común» (presentación, preguntas difíciles e inglés).</t>
  </si>
  <si>
    <t xml:space="preserve">Temas y niveles</t>
  </si>
  <si>
    <t xml:space="preserve">Cada tema tiene preguntas Junior, Mid y Senior. En la app, cada tema es una lección con tres escalones: el nivel elegido en el onboarding marca por dónde empieza el usuario, y al completar un escalón se desbloquea el siguiente.</t>
  </si>
  <si>
    <t xml:space="preserve">ID</t>
  </si>
  <si>
    <t xml:space="preserve">tema-NivelNúmero, por ejemplo ang-signals-M2. El tema sale del ID: si añades preguntas, copia el prefijo del tema.</t>
  </si>
  <si>
    <t xml:space="preserve">Cómo usarlo</t>
  </si>
  <si>
    <t xml:space="preserve">1. Filtra</t>
  </si>
  <si>
    <t xml:space="preserve">En la hoja Preguntas usa los filtros por Bloque, Tema, Nivel o Tipo.</t>
  </si>
  <si>
    <t xml:space="preserve">2. Revisa y edita</t>
  </si>
  <si>
    <t xml:space="preserve">Las celdas amarillas son editables. Cambia Estado a «Revisada» o «Descartada», y Activa a «No» para ocultar una pregunta.</t>
  </si>
  <si>
    <t xml:space="preserve">3. Importa</t>
  </si>
  <si>
    <t xml:space="preserve">npm run import -- Temario_mockinter.xlsx genera supabase/seed.sql para cargarlo en Supabase.</t>
  </si>
  <si>
    <t xml:space="preserve">Tipos de pregunta</t>
  </si>
  <si>
    <t xml:space="preserve">Elegir respuesta</t>
  </si>
  <si>
    <t xml:space="preserve">Respuesta correcta + 3 incorrectas. La app las baraja.</t>
  </si>
  <si>
    <t xml:space="preserve">Completar frase</t>
  </si>
  <si>
    <t xml:space="preserve">La frase lleva ___ donde va el hueco. Respuesta correcta + 3 incorrectas.</t>
  </si>
  <si>
    <t xml:space="preserve">Ordenar</t>
  </si>
  <si>
    <t xml:space="preserve">Las piezas van en «Respuesta correcta», en orden, separadas por « | ».</t>
  </si>
  <si>
    <t xml:space="preserve">Código</t>
  </si>
  <si>
    <t xml:space="preserve">Opcional en cualquier tipo. Se muestra como bloque de código encima de las opciones (¿qué imprime?, ¿dónde está el bug?, ¿qué hace?). Respeta los saltos de línea y la indentación.</t>
  </si>
  <si>
    <t xml:space="preserve">Columnas extra</t>
  </si>
  <si>
    <t xml:space="preserve">Frase ejemplo (EN)</t>
  </si>
  <si>
    <t xml:space="preserve">Opcional. Se muestra tras responder: «Ejemplo de lo que podrías decir» si aciertas o «Lo que deberías decir» si fallas.</t>
  </si>
  <si>
    <t xml:space="preserve">Variante ES</t>
  </si>
  <si>
    <t xml:space="preserve">Versión de la pregunta para quien tiene la entrevista en español. Rellénala solo si el enunciado u opciones tienen frases en inglés.</t>
  </si>
  <si>
    <t xml:space="preserve">Bloque</t>
  </si>
  <si>
    <t xml:space="preserve">Tema</t>
  </si>
  <si>
    <t xml:space="preserve">ID del tema</t>
  </si>
  <si>
    <t xml:space="preserve">Junior</t>
  </si>
  <si>
    <t xml:space="preserve">Mid</t>
  </si>
  <si>
    <t xml:space="preserve">Senior</t>
  </si>
  <si>
    <t xml:space="preserve">Total</t>
  </si>
  <si>
    <t xml:space="preserve">Con código</t>
  </si>
  <si>
    <t xml:space="preserve">Revisadas</t>
  </si>
  <si>
    <t xml:space="preserve">Activas</t>
  </si>
  <si>
    <t xml:space="preserve">Común (todos los puestos)</t>
  </si>
  <si>
    <t xml:space="preserve">Presentación y método STAR</t>
  </si>
  <si>
    <t xml:space="preserve">com-star</t>
  </si>
  <si>
    <t xml:space="preserve">Preguntas difíciles</t>
  </si>
  <si>
    <t xml:space="preserve">com-dificiles</t>
  </si>
  <si>
    <t xml:space="preserve">Inglés de entrevista</t>
  </si>
  <si>
    <t xml:space="preserve">com-ingles</t>
  </si>
  <si>
    <t xml:space="preserve">Frontend Angular</t>
  </si>
  <si>
    <t xml:space="preserve">Componentes y plantillas</t>
  </si>
  <si>
    <t xml:space="preserve">ang-components</t>
  </si>
  <si>
    <t xml:space="preserve">Signals</t>
  </si>
  <si>
    <t xml:space="preserve">ang-signals</t>
  </si>
  <si>
    <t xml:space="preserve">RxJS y operadores</t>
  </si>
  <si>
    <t xml:space="preserve">ang-rxjs</t>
  </si>
  <si>
    <t xml:space="preserve">Change detection y rendimiento</t>
  </si>
  <si>
    <t xml:space="preserve">ang-cd</t>
  </si>
  <si>
    <t xml:space="preserve">Formularios</t>
  </si>
  <si>
    <t xml:space="preserve">ang-forms</t>
  </si>
  <si>
    <t xml:space="preserve">Routing</t>
  </si>
  <si>
    <t xml:space="preserve">ang-routing</t>
  </si>
  <si>
    <t xml:space="preserve">Inyección de dependencias y HTTP</t>
  </si>
  <si>
    <t xml:space="preserve">ang-di-http</t>
  </si>
  <si>
    <t xml:space="preserve">Testing</t>
  </si>
  <si>
    <t xml:space="preserve">ang-testing</t>
  </si>
  <si>
    <t xml:space="preserve">Actualizaciones de versión e i18n</t>
  </si>
  <si>
    <t xml:space="preserve">ang-upgrade-i18n</t>
  </si>
  <si>
    <t xml:space="preserve">Angular Material y theming</t>
  </si>
  <si>
    <t xml:space="preserve">ang-material</t>
  </si>
  <si>
    <t xml:space="preserve">Frontend React</t>
  </si>
  <si>
    <t xml:space="preserve">Fundamentos (JSX, props y estado)</t>
  </si>
  <si>
    <t xml:space="preserve">rea-basics</t>
  </si>
  <si>
    <t xml:space="preserve">Hooks</t>
  </si>
  <si>
    <t xml:space="preserve">rea-hooks</t>
  </si>
  <si>
    <t xml:space="preserve">Estado global y datos</t>
  </si>
  <si>
    <t xml:space="preserve">rea-state</t>
  </si>
  <si>
    <t xml:space="preserve">Rendimiento</t>
  </si>
  <si>
    <t xml:space="preserve">rea-perf</t>
  </si>
  <si>
    <t xml:space="preserve">Routing y arquitectura</t>
  </si>
  <si>
    <t xml:space="preserve">rea-routing</t>
  </si>
  <si>
    <t xml:space="preserve">rea-testing</t>
  </si>
  <si>
    <t xml:space="preserve">Cloud / DevOps (AWS)</t>
  </si>
  <si>
    <t xml:space="preserve">Fundamentos de AWS</t>
  </si>
  <si>
    <t xml:space="preserve">cld-aws</t>
  </si>
  <si>
    <t xml:space="preserve">Redes en AWS</t>
  </si>
  <si>
    <t xml:space="preserve">cld-net</t>
  </si>
  <si>
    <t xml:space="preserve">Contenedores y Kubernetes</t>
  </si>
  <si>
    <t xml:space="preserve">cld-containers</t>
  </si>
  <si>
    <t xml:space="preserve">CI/CD e infraestructura como código</t>
  </si>
  <si>
    <t xml:space="preserve">cld-cicd</t>
  </si>
  <si>
    <t xml:space="preserve">Linux y scripting</t>
  </si>
  <si>
    <t xml:space="preserve">cld-linux</t>
  </si>
  <si>
    <t xml:space="preserve">Observabilidad y fiabilidad</t>
  </si>
  <si>
    <t xml:space="preserve">cld-obs</t>
  </si>
  <si>
    <t xml:space="preserve">Backend Java/Spring</t>
  </si>
  <si>
    <t xml:space="preserve">Java core</t>
  </si>
  <si>
    <t xml:space="preserve">bck-java</t>
  </si>
  <si>
    <t xml:space="preserve">Spring Boot y DI</t>
  </si>
  <si>
    <t xml:space="preserve">bck-spring</t>
  </si>
  <si>
    <t xml:space="preserve">APIs REST</t>
  </si>
  <si>
    <t xml:space="preserve">bck-rest</t>
  </si>
  <si>
    <t xml:space="preserve">Bases de datos y JPA</t>
  </si>
  <si>
    <t xml:space="preserve">bck-db</t>
  </si>
  <si>
    <t xml:space="preserve">Arquitectura y microservicios</t>
  </si>
  <si>
    <t xml:space="preserve">bck-arch</t>
  </si>
  <si>
    <t xml:space="preserve">Testing y seguridad</t>
  </si>
  <si>
    <t xml:space="preserve">bck-sec</t>
  </si>
  <si>
    <t xml:space="preserve">Frontend (Angular y React)</t>
  </si>
  <si>
    <t xml:space="preserve">CSS: BEM, Flexbox y Grid</t>
  </si>
  <si>
    <t xml:space="preserve">fe-css</t>
  </si>
  <si>
    <t xml:space="preserve">TypeScript avanzado</t>
  </si>
  <si>
    <t xml:space="preserve">fe-ts</t>
  </si>
  <si>
    <t xml:space="preserve">Arquitectura frontend (EventBus, CommandBus)</t>
  </si>
  <si>
    <t xml:space="preserve">fe-arch</t>
  </si>
  <si>
    <t xml:space="preserve">Patrones de diseño y clean code</t>
  </si>
  <si>
    <t xml:space="preserve">fe-patterns</t>
  </si>
  <si>
    <t xml:space="preserve">Desarrollo (todos los puestos técnicos)</t>
  </si>
  <si>
    <t xml:space="preserve">Git: ramas, conflictos, revert y cherry-pick</t>
  </si>
  <si>
    <t xml:space="preserve">dev-git</t>
  </si>
  <si>
    <t xml:space="preserve">Docker a nivel usuario</t>
  </si>
  <si>
    <t xml:space="preserve">dev-docker</t>
  </si>
  <si>
    <t xml:space="preserve">Nivel</t>
  </si>
  <si>
    <t xml:space="preserve">Tipo</t>
  </si>
  <si>
    <t xml:space="preserve">Pregunta (ES)</t>
  </si>
  <si>
    <t xml:space="preserve">Respuesta correcta</t>
  </si>
  <si>
    <t xml:space="preserve">Incorrecta 1</t>
  </si>
  <si>
    <t xml:space="preserve">Incorrecta 2</t>
  </si>
  <si>
    <t xml:space="preserve">Incorrecta 3</t>
  </si>
  <si>
    <t xml:space="preserve">Explicación</t>
  </si>
  <si>
    <t xml:space="preserve">Traducción del ejemplo</t>
  </si>
  <si>
    <t xml:space="preserve">Estado</t>
  </si>
  <si>
    <t xml:space="preserve">Activa</t>
  </si>
  <si>
    <t xml:space="preserve">Variante ES: pregunta</t>
  </si>
  <si>
    <t xml:space="preserve">Variante ES: correcta</t>
  </si>
  <si>
    <t xml:space="preserve">Variante ES: incorrectas (separadas por |)</t>
  </si>
  <si>
    <t xml:space="preserve">Variante ES: explicación</t>
  </si>
  <si>
    <t xml:space="preserve">com-star-J1</t>
  </si>
  <si>
    <t xml:space="preserve">¿Qué significa STAR?</t>
  </si>
  <si>
    <t xml:space="preserve">Situation, Task, Action, Result (Situación, Tarea, Acción, Resultado)</t>
  </si>
  <si>
    <t xml:space="preserve">Skills, Tools, Achievements, Results</t>
  </si>
  <si>
    <t xml:space="preserve">Situation, Team, Approach, Review</t>
  </si>
  <si>
    <t xml:space="preserve">Story, Task, Action, Reflection</t>
  </si>
  <si>
    <t xml:space="preserve">Es la estructura que esperan en las preguntas de comportamiento: "Tell me about a time when…".</t>
  </si>
  <si>
    <t xml:space="preserve">Pendiente de revisar</t>
  </si>
  <si>
    <t xml:space="preserve">Sí</t>
  </si>
  <si>
    <t xml:space="preserve">com-star-J2</t>
  </si>
  <si>
    <t xml:space="preserve">Ordena esta respuesta STAR</t>
  </si>
  <si>
    <t xml:space="preserve">En las prácticas, el formulario de registro tenía muchos abandonos. | Me pidieron averiguar por qué y proponer una mejora. | Analicé los errores de validación y simplifiqué el formulario de 9 a 5 campos. | Los registros completados subieron un 30% el mes siguiente.</t>
  </si>
  <si>
    <t xml:space="preserve">Situación → Tarea → Acción → Resultado. Cierra siempre con un resultado medible.</t>
  </si>
  <si>
    <t xml:space="preserve">com-star-J3</t>
  </si>
  <si>
    <t xml:space="preserve">¿Cuál es la mejor estructura para "Tell me about yourself"?</t>
  </si>
  <si>
    <t xml:space="preserve">Presente → pasado → futuro</t>
  </si>
  <si>
    <t xml:space="preserve">Infancia → estudios → aficiones</t>
  </si>
  <si>
    <t xml:space="preserve">Todo el CV, trabajo por trabajo</t>
  </si>
  <si>
    <t xml:space="preserve">Fortalezas → debilidades → salario</t>
  </si>
  <si>
    <t xml:space="preserve">Quién eres hoy, cómo llegaste y por qué este puesto encaja. Entre 60 y 90 segundos.</t>
  </si>
  <si>
    <t xml:space="preserve">I'm a junior developer who recently finished my training in web development. During my internship I worked on a real product with a team, which taught me a lot about code reviews and teamwork. Now I'm looking for a team where I can keep learning and start contributing from the first weeks.</t>
  </si>
  <si>
    <t xml:space="preserve">Soy desarrollador junior y acabo de terminar mi formación en desarrollo web. En las prácticas trabajé en un producto real con un equipo, lo que me enseñó mucho sobre code reviews y trabajo en equipo. Ahora busco un equipo donde seguir aprendiendo y empezar a aportar desde las primeras semanas.</t>
  </si>
  <si>
    <t xml:space="preserve">¿Cuál es la mejor estructura para responder a «Háblame de ti»?</t>
  </si>
  <si>
    <t xml:space="preserve">com-star-M1</t>
  </si>
  <si>
    <t xml:space="preserve">¿Qué respuesta a "What's your greatest weakness?" funciona mejor?</t>
  </si>
  <si>
    <t xml:space="preserve">I sometimes go too deep into details, so now I timebox research and check in with the team earlier.</t>
  </si>
  <si>
    <t xml:space="preserve">I'm a perfectionist and I work too hard.</t>
  </si>
  <si>
    <t xml:space="preserve">I don't really have weaknesses.</t>
  </si>
  <si>
    <t xml:space="preserve">I'm not very good at working in teams.</t>
  </si>
  <si>
    <t xml:space="preserve">Una debilidad real pero no crítica para el puesto, más lo que haces para mejorarla.</t>
  </si>
  <si>
    <t xml:space="preserve">Sometimes I go too deep into details before asking for help. Now I timebox my research, and if I'm stuck after an hour or so, I check in with the team. It's made me much faster.</t>
  </si>
  <si>
    <t xml:space="preserve">A veces profundizo demasiado en los detalles antes de pedir ayuda. Ahora me pongo un límite de tiempo y, si sigo atascado tras una hora, lo comento con el equipo. Me ha hecho mucho más rápido.</t>
  </si>
  <si>
    <t xml:space="preserve">Te preguntan «¿Cuál es tu mayor debilidad?». ¿Qué respuesta funciona mejor?</t>
  </si>
  <si>
    <t xml:space="preserve">A veces profundizo demasiado en los detalles, así que ahora me pongo un límite de tiempo y consulto antes con el equipo.</t>
  </si>
  <si>
    <t xml:space="preserve">Soy perfeccionista y trabajo demasiado. | La verdad es que no tengo debilidades. | No se me da muy bien trabajar en equipo.</t>
  </si>
  <si>
    <t xml:space="preserve">com-star-M2</t>
  </si>
  <si>
    <t xml:space="preserve">Te preguntan por un conflicto con un compañero. ¿Qué enfoque es mejor?</t>
  </si>
  <si>
    <t xml:space="preserve">Contar un desacuerdo real, cómo lo hablasteis con datos y cómo se resolvió, sin culpar a nadie</t>
  </si>
  <si>
    <t xml:space="preserve">Decir que nunca has tenido conflictos</t>
  </si>
  <si>
    <t xml:space="preserve">Explicar por qué el compañero estaba equivocado</t>
  </si>
  <si>
    <t xml:space="preserve">Cambiar de tema</t>
  </si>
  <si>
    <t xml:space="preserve">Buscan madurez: escuchar, argumentar con datos y priorizar el objetivo del equipo.</t>
  </si>
  <si>
    <t xml:space="preserve">In a project, a colleague and I disagreed about how to structure the state. Instead of arguing, we each wrote down pros and cons and built a quick proof of concept. We went with his approach, with one idea from mine, and it worked well. Since then we've worked really well together.</t>
  </si>
  <si>
    <t xml:space="preserve">En un proyecto, un compañero y yo no estábamos de acuerdo en cómo estructurar el estado. En vez de discutir, apuntamos pros y contras y montamos una prueba de concepto rápida. Elegimos su enfoque con una idea del mío y funcionó bien. Desde entonces trabajamos muy bien juntos.</t>
  </si>
  <si>
    <t xml:space="preserve">com-star-M3</t>
  </si>
  <si>
    <t xml:space="preserve">En una respuesta STAR, habla de lo que hiciste ___, no solo de lo que hizo el equipo.</t>
  </si>
  <si>
    <t xml:space="preserve">tú</t>
  </si>
  <si>
    <t xml:space="preserve">el jefe</t>
  </si>
  <si>
    <t xml:space="preserve">el cliente</t>
  </si>
  <si>
    <t xml:space="preserve">la empresa</t>
  </si>
  <si>
    <t xml:space="preserve">Di "I" más que "we": quieren saber cuál fue tu aportación.</t>
  </si>
  <si>
    <t xml:space="preserve">Habla en primera persona («yo propuse», «yo implementé») más que en plural: quieren saber cuál fue tu aportación.</t>
  </si>
  <si>
    <t xml:space="preserve">com-star-S1</t>
  </si>
  <si>
    <t xml:space="preserve">Te preguntan cómo has ayudado a crecer a otras personas. ¿Qué incluyes?</t>
  </si>
  <si>
    <t xml:space="preserve">Un ejemplo concreto de mentoring con acciones (pair programming, feedback, delegar retos) y su resultado</t>
  </si>
  <si>
    <t xml:space="preserve">Que siempre ayudas cuando te preguntan</t>
  </si>
  <si>
    <t xml:space="preserve">Que el crecimiento es responsabilidad de cada uno</t>
  </si>
  <si>
    <t xml:space="preserve">Una lista de cursos que recomiendas</t>
  </si>
  <si>
    <t xml:space="preserve">En perfiles senior buscan impacto en el equipo, no solo en el código.</t>
  </si>
  <si>
    <t xml:space="preserve">I mentored a junior developer who was struggling with RxJS. We did pair programming twice a week, I gave her small but real tasks, and I reviewed her pull requests with explanations, not just corrections. After three months she was leading a feature on her own.</t>
  </si>
  <si>
    <t xml:space="preserve">Fui mentor de una desarrolladora junior a la que le costaba RxJS. Hacíamos pair programming dos veces por semana, le daba tareas pequeñas pero reales y revisaba sus pull requests explicando, no solo corrigiendo. A los tres meses lideraba ella sola una funcionalidad.</t>
  </si>
  <si>
    <t xml:space="preserve">com-star-S2</t>
  </si>
  <si>
    <t xml:space="preserve">¿Cómo respondes a "Tell me about a technical decision you regret"?</t>
  </si>
  <si>
    <t xml:space="preserve">Con una decisión real, por qué tenía sentido entonces, qué aprendiste y qué harías distinto</t>
  </si>
  <si>
    <t xml:space="preserve">Diciendo que nunca te arrepientes de nada</t>
  </si>
  <si>
    <t xml:space="preserve">Culpando al equipo de producto</t>
  </si>
  <si>
    <t xml:space="preserve">Con un error trivial sin consecuencias</t>
  </si>
  <si>
    <t xml:space="preserve">Demuestra criterio y capacidad de aprender, que es lo que se espera de un senior.</t>
  </si>
  <si>
    <t xml:space="preserve">We added a global state library very early in a project, when the app was still small. It slowed the team down with a lot of boilerplate. Now I start with the simplest option and only add complexity when there's a clear need.</t>
  </si>
  <si>
    <t xml:space="preserve">Añadimos una librería de estado global muy pronto en un proyecto, cuando la app aún era pequeña. Ralentizó al equipo con mucho código repetitivo. Ahora empiezo por la opción más sencilla y solo añado complejidad cuando hay una necesidad clara.</t>
  </si>
  <si>
    <t xml:space="preserve">¿Cómo respondes a «Cuéntame una decisión técnica de la que te arrepientas»?</t>
  </si>
  <si>
    <t xml:space="preserve">com-star-S3</t>
  </si>
  <si>
    <t xml:space="preserve">Para un senior, una buena respuesta STAR muestra el impacto en el ___, no solo en el código.</t>
  </si>
  <si>
    <t xml:space="preserve">negocio</t>
  </si>
  <si>
    <t xml:space="preserve">framework</t>
  </si>
  <si>
    <t xml:space="preserve">IDE</t>
  </si>
  <si>
    <t xml:space="preserve">linter</t>
  </si>
  <si>
    <t xml:space="preserve">Habla de usuarios, costes, tiempos de entrega o ventas cuando puedas.</t>
  </si>
  <si>
    <t xml:space="preserve">com-dificiles-J1</t>
  </si>
  <si>
    <t xml:space="preserve">"Why should we hire you?" (¿por qué deberíamos contratarte?) ¿Qué enfoque es mejor?</t>
  </si>
  <si>
    <t xml:space="preserve">Unir dos o tres cosas concretas tuyas con lo que pide la oferta, y tu ganas de aprender</t>
  </si>
  <si>
    <t xml:space="preserve">Decir que necesitas el trabajo</t>
  </si>
  <si>
    <t xml:space="preserve">Decir que eres el mejor candidato sin más</t>
  </si>
  <si>
    <t xml:space="preserve">Hablar de lo que no te gusta de tu trabajo actual</t>
  </si>
  <si>
    <t xml:space="preserve">Relaciona tus fortalezas con las necesidades del puesto.</t>
  </si>
  <si>
    <t xml:space="preserve">You're looking for someone who knows Angular and can learn fast. I've built two projects with Angular and TypeScript, I'm used to working with Git in a team from my internship, and I'm someone who asks questions and learns quickly.</t>
  </si>
  <si>
    <t xml:space="preserve">Buscáis a alguien que conozca Angular y aprenda rápido. He hecho dos proyectos con Angular y TypeScript, estoy acostumbrado a trabajar con Git en equipo desde las prácticas y soy alguien que pregunta y aprende rápido.</t>
  </si>
  <si>
    <t xml:space="preserve">«¿Por qué deberíamos contratarte?» ¿Qué enfoque es mejor?</t>
  </si>
  <si>
    <t xml:space="preserve">com-dificiles-J2</t>
  </si>
  <si>
    <t xml:space="preserve">Te preguntan algo técnico que no sabes. ¿Qué haces?</t>
  </si>
  <si>
    <t xml:space="preserve">Reconocerlo con naturalidad, explicar cómo lo averiguarías o razonar en voz alta lo que sí sabes</t>
  </si>
  <si>
    <t xml:space="preserve">Inventarte la respuesta</t>
  </si>
  <si>
    <t xml:space="preserve">Quedarte en silencio</t>
  </si>
  <si>
    <t xml:space="preserve">Decir que no es importante</t>
  </si>
  <si>
    <t xml:space="preserve">Inventar se nota y resta mucho; razonar suma.</t>
  </si>
  <si>
    <t xml:space="preserve">I haven't worked with that directly, but I'd guess it works similarly to X. In a real situation, I'd check the official documentation and try a small example.</t>
  </si>
  <si>
    <t xml:space="preserve">No he trabajado con eso directamente, pero imagino que funciona de forma parecida a X. En una situación real, miraría la documentación oficial y probaría con un ejemplo pequeño.</t>
  </si>
  <si>
    <t xml:space="preserve">com-dificiles-J3</t>
  </si>
  <si>
    <t xml:space="preserve">¿Qué buena pregunta puedes hacer tú al final?</t>
  </si>
  <si>
    <t xml:space="preserve">What does a typical day look like for someone in this role?</t>
  </si>
  <si>
    <t xml:space="preserve">How many vacation days do I get?</t>
  </si>
  <si>
    <t xml:space="preserve">So, what does your company do?</t>
  </si>
  <si>
    <t xml:space="preserve">No, I don't have any questions.</t>
  </si>
  <si>
    <t xml:space="preserve">Demuestra interés real y te da información para decidir.</t>
  </si>
  <si>
    <t xml:space="preserve">What does a typical day look like for someone in this role? And how do new people get support during their first months?</t>
  </si>
  <si>
    <t xml:space="preserve">¿Cómo es un día normal en este puesto? ¿Y cómo apoyáis a las personas nuevas durante los primeros meses?</t>
  </si>
  <si>
    <t xml:space="preserve">¿Cómo es un día normal para alguien en este puesto?</t>
  </si>
  <si>
    <t xml:space="preserve">¿Cuántos días de vacaciones tendría? | Entonces, ¿a qué se dedica vuestra empresa? | No, no tengo ninguna pregunta.</t>
  </si>
  <si>
    <t xml:space="preserve">com-dificiles-M1</t>
  </si>
  <si>
    <t xml:space="preserve">"I see a gap in your recent experience." (veo un hueco en tu experiencia reciente) ¿Cómo lo enfocas?</t>
  </si>
  <si>
    <t xml:space="preserve">Breve y sincero, y luego centrarte en lo que hiciste para seguir en forma y por qué estás listo ahora</t>
  </si>
  <si>
    <t xml:space="preserve">Cambiar de tema rápido</t>
  </si>
  <si>
    <t xml:space="preserve">Explicar con detalle todo lo que salió mal</t>
  </si>
  <si>
    <t xml:space="preserve">Echar la culpa a tu anterior empresa</t>
  </si>
  <si>
    <t xml:space="preserve">Una frase de contexto, sin dramas, y enseguida a lo positivo.</t>
  </si>
  <si>
    <t xml:space="preserve">Yes, my last project had very little development work, so I decided to use that time to retrain. I've been learning new technologies and catching up with the latest versions of my stack. Now I'm really keen to get back into a team and build things.</t>
  </si>
  <si>
    <t xml:space="preserve">Sí, mi último proyecto tenía muy poco desarrollo, así que decidí aprovechar ese tiempo para formarme. He estado aprendiendo tecnologías nuevas y poniéndome al día con las últimas versiones de mi stack. Ahora tengo muchas ganas de volver a un equipo y construir cosas.</t>
  </si>
  <si>
    <t xml:space="preserve">«Veo un hueco en tu experiencia reciente.» ¿Cómo lo enfocas?</t>
  </si>
  <si>
    <t xml:space="preserve">com-dificiles-M2</t>
  </si>
  <si>
    <t xml:space="preserve">"Why did you leave your last job?" (¿por qué dejaste tu último trabajo?) ¿Qué respondes?</t>
  </si>
  <si>
    <t xml:space="preserve">I wanted more hands-on coding and growth, and that wasn't possible on that project.</t>
  </si>
  <si>
    <t xml:space="preserve">My manager was terrible.</t>
  </si>
  <si>
    <t xml:space="preserve">Honestly, I just needed any job.</t>
  </si>
  <si>
    <t xml:space="preserve">I got bored.</t>
  </si>
  <si>
    <t xml:space="preserve">Nunca hables mal de una empresa anterior. Enmárcalo en lo que buscas, no en lo que huyes.</t>
  </si>
  <si>
    <t xml:space="preserve">I was on a project where I wasn't getting much hands-on development, and I want to keep growing as a developer. So I'm looking for a team where I can build features every day and learn from good engineers.</t>
  </si>
  <si>
    <t xml:space="preserve">Estaba en un proyecto donde apenas hacía desarrollo, y quiero seguir creciendo como desarrollador. Por eso busco un equipo donde pueda construir funcionalidades cada día y aprender de buenos ingenieros.</t>
  </si>
  <si>
    <t xml:space="preserve">«¿Por qué dejaste tu último trabajo?» ¿Qué respondes?</t>
  </si>
  <si>
    <t xml:space="preserve">Quería programar más y seguir creciendo, y en ese proyecto no era posible.</t>
  </si>
  <si>
    <t xml:space="preserve">Mi jefe era horrible. | Sinceramente, necesitaba cualquier trabajo. | Me aburría.</t>
  </si>
  <si>
    <t xml:space="preserve">com-dificiles-M3</t>
  </si>
  <si>
    <t xml:space="preserve">"What are your salary expectations?" (¿qué expectativas salariales tienes?) ¿Cómo lo enfocas?</t>
  </si>
  <si>
    <t xml:space="preserve">Dar un rango investigado para el puesto y la ciudad, y mostrar algo de flexibilidad</t>
  </si>
  <si>
    <t xml:space="preserve">Decir "lo que os parezca justo"</t>
  </si>
  <si>
    <t xml:space="preserve">Negarte a responder</t>
  </si>
  <si>
    <t xml:space="preserve">Decir una cifra muy por encima del mercado</t>
  </si>
  <si>
    <t xml:space="preserve">Un rango investigado te protege de pedir poco y no cierra la puerta.</t>
  </si>
  <si>
    <t xml:space="preserve">Based on what I've seen for similar roles, I'm looking for something between X and Y a year. But I'm flexible, it depends on the whole package and the remote options.</t>
  </si>
  <si>
    <t xml:space="preserve">Por lo que he visto en puestos similares, busco algo entre X e Y al año. Pero soy flexible: depende del paquete completo y de las opciones de teletrabajo. (Sustituye X e Y por tu rango real.)</t>
  </si>
  <si>
    <t xml:space="preserve">«¿Qué expectativas salariales tienes?» ¿Cómo lo enfocas?</t>
  </si>
  <si>
    <t xml:space="preserve">com-dificiles-S1</t>
  </si>
  <si>
    <t xml:space="preserve">Tienes otra oferta y te preguntan si estás en otros procesos. ¿Qué haces?</t>
  </si>
  <si>
    <t xml:space="preserve">Ser sincero sin dar detalles innecesarios, y dejar claro por qué te interesa especialmente este puesto</t>
  </si>
  <si>
    <t xml:space="preserve">Mentir y decir que no</t>
  </si>
  <si>
    <t xml:space="preserve">Usarlo para presionar de forma agresiva</t>
  </si>
  <si>
    <t xml:space="preserve">La transparencia genera confianza y puede acelerar el proceso.</t>
  </si>
  <si>
    <t xml:space="preserve">Yes, I'm in a couple of other processes, one of them at an advanced stage. But this role is my first choice because of the product and the team, so I'd be happy to move forward quickly if it works for you.</t>
  </si>
  <si>
    <t xml:space="preserve">Sí, estoy en un par de procesos más, uno de ellos bastante avanzado. Pero este puesto es mi primera opción por el producto y el equipo, así que me encantaría avanzar rápido si os encaja.</t>
  </si>
  <si>
    <t xml:space="preserve">com-dificiles-S2</t>
  </si>
  <si>
    <t xml:space="preserve">"How do you handle disagreement with your manager about a technical decision?" ¿Qué enfoque es mejor?</t>
  </si>
  <si>
    <t xml:space="preserve">Plantear tu postura con datos y riesgos, escuchar sus motivos y, si se decide lo contrario, comprometerte con la decisión</t>
  </si>
  <si>
    <t xml:space="preserve">Hacer lo que tú crees sin decir nada</t>
  </si>
  <si>
    <t xml:space="preserve">Escalar directamente a su jefe</t>
  </si>
  <si>
    <t xml:space="preserve">Aceptar siempre sin opinar</t>
  </si>
  <si>
    <t xml:space="preserve">Es el principio de "disagree and commit".</t>
  </si>
  <si>
    <t xml:space="preserve">I'd explain my concerns with data, for example the risks or the cost of each option, and listen to the reasons behind the decision. If we still go another way, I commit to it fully, and we agree on a point to review whether it's working.</t>
  </si>
  <si>
    <t xml:space="preserve">Explicaría mis dudas con datos, por ejemplo los riesgos o el coste de cada opción, y escucharía los motivos de la decisión. Si aun así se elige otro camino, me comprometo del todo y acordamos un momento para revisar si está funcionando.</t>
  </si>
  <si>
    <t xml:space="preserve">«¿Cómo gestionas un desacuerdo con tu responsable sobre una decisión técnica?» ¿Qué enfoque es mejor?</t>
  </si>
  <si>
    <t xml:space="preserve">com-dificiles-S3</t>
  </si>
  <si>
    <t xml:space="preserve">"Why are you looking for a change after so many years?" ¿Qué respuesta funciona mejor?</t>
  </si>
  <si>
    <t xml:space="preserve">Hablar de lo que buscas ahora (impacto, retos, liderazgo) y por qué este puesto lo ofrece</t>
  </si>
  <si>
    <t xml:space="preserve">Decir que estás quemado</t>
  </si>
  <si>
    <t xml:space="preserve">Quejarte de tu empresa actual</t>
  </si>
  <si>
    <t xml:space="preserve">Decir que es solo por dinero</t>
  </si>
  <si>
    <t xml:space="preserve">Enfoque positivo y orientado al futuro.</t>
  </si>
  <si>
    <t xml:space="preserve">I've learned a lot in my current company, but I feel I've reached a point where I want a bigger impact, for example shaping the architecture of a product from the start. This role offers exactly that.</t>
  </si>
  <si>
    <t xml:space="preserve">He aprendido mucho en mi empresa actual, pero siento que he llegado a un punto en el que quiero más impacto, por ejemplo definir la arquitectura de un producto desde el principio. Este puesto me ofrece justo eso.</t>
  </si>
  <si>
    <t xml:space="preserve">«¿Por qué buscas un cambio después de tantos años?» ¿Qué respuesta funciona mejor?</t>
  </si>
  <si>
    <t xml:space="preserve">com-ingles-J1</t>
  </si>
  <si>
    <t xml:space="preserve">"Actualmente trabajo con Angular" →</t>
  </si>
  <si>
    <t xml:space="preserve">I'm currently working with Angular.</t>
  </si>
  <si>
    <t xml:space="preserve">Actually I work with Angular.</t>
  </si>
  <si>
    <t xml:space="preserve">Actually I'm working in Angular.</t>
  </si>
  <si>
    <t xml:space="preserve">In the actual moment I work with Angular.</t>
  </si>
  <si>
    <t xml:space="preserve">Actually = en realidad. Actualmente = currently / at the moment.</t>
  </si>
  <si>
    <t xml:space="preserve">com-ingles-J2</t>
  </si>
  <si>
    <t xml:space="preserve">I've been working with Angular ___ 2019.</t>
  </si>
  <si>
    <t xml:space="preserve">since</t>
  </si>
  <si>
    <t xml:space="preserve">for</t>
  </si>
  <si>
    <t xml:space="preserve">from</t>
  </si>
  <si>
    <t xml:space="preserve">during</t>
  </si>
  <si>
    <t xml:space="preserve">Since + punto de inicio (since 2019). For + duración (for five years).</t>
  </si>
  <si>
    <t xml:space="preserve">com-ingles-J3</t>
  </si>
  <si>
    <t xml:space="preserve">No has entendido la pregunta. Dices:</t>
  </si>
  <si>
    <t xml:space="preserve">Sorry, could you rephrase that, please?</t>
  </si>
  <si>
    <t xml:space="preserve">What?</t>
  </si>
  <si>
    <t xml:space="preserve">Repeat.</t>
  </si>
  <si>
    <t xml:space="preserve">I no understand.</t>
  </si>
  <si>
    <t xml:space="preserve">Pedir que lo reformulen es normal y profesional.</t>
  </si>
  <si>
    <t xml:space="preserve">Sorry, could you rephrase that, please? Just to make sure: do you mean how I would build it, or how I would test it?</t>
  </si>
  <si>
    <t xml:space="preserve">Perdona, ¿podrías reformularlo? Solo para asegurarme: ¿te refieres a cómo lo construiría o a cómo lo testearía?</t>
  </si>
  <si>
    <t xml:space="preserve">com-ingles-M1</t>
  </si>
  <si>
    <t xml:space="preserve">"Asistí a la reunión de planificación" →</t>
  </si>
  <si>
    <t xml:space="preserve">I attended the planning meeting.</t>
  </si>
  <si>
    <t xml:space="preserve">I assisted the planning meeting.</t>
  </si>
  <si>
    <t xml:space="preserve">I assisted to the planning meeting.</t>
  </si>
  <si>
    <t xml:space="preserve">I went in the planning meeting.</t>
  </si>
  <si>
    <t xml:space="preserve">Attend = asistir (estar presente). Assist = ayudar.</t>
  </si>
  <si>
    <t xml:space="preserve">com-ingles-M2</t>
  </si>
  <si>
    <t xml:space="preserve">"Me encargaba del módulo de pagos" →</t>
  </si>
  <si>
    <t xml:space="preserve">I was in charge of the payments module.</t>
  </si>
  <si>
    <t xml:space="preserve">I was charged of the payments module.</t>
  </si>
  <si>
    <t xml:space="preserve">I encharged the payments module.</t>
  </si>
  <si>
    <t xml:space="preserve">I was encharged of the payments module.</t>
  </si>
  <si>
    <t xml:space="preserve">In charge of / responsible for. "Charge" a secas es cobrar o cargar.</t>
  </si>
  <si>
    <t xml:space="preserve">com-ingles-M3</t>
  </si>
  <si>
    <t xml:space="preserve">Necesitas unos segundos para pensar. ¿Qué frase es la mejor?</t>
  </si>
  <si>
    <t xml:space="preserve">That's a good question. Let me think about it for a second.</t>
  </si>
  <si>
    <t xml:space="preserve">Eh… eh… wait.</t>
  </si>
  <si>
    <t xml:space="preserve">I don't know.</t>
  </si>
  <si>
    <t xml:space="preserve">Next question, please.</t>
  </si>
  <si>
    <t xml:space="preserve">Pensar en voz alta está bien visto en entrevistas técnicas.</t>
  </si>
  <si>
    <t xml:space="preserve">That's a good question. Let me think about it for a second… OK, so the way I see it is…</t>
  </si>
  <si>
    <t xml:space="preserve">Buena pregunta. Déjame pensarlo un segundo… Vale, tal y como yo lo veo…</t>
  </si>
  <si>
    <t xml:space="preserve">com-ingles-S1</t>
  </si>
  <si>
    <t xml:space="preserve">Para matizar una opinión de forma profesional, ¿qué frase suena mejor?</t>
  </si>
  <si>
    <t xml:space="preserve">I see your point, but I'd push back a little on that, because…</t>
  </si>
  <si>
    <t xml:space="preserve">You're wrong.</t>
  </si>
  <si>
    <t xml:space="preserve">No, no, no.</t>
  </si>
  <si>
    <t xml:space="preserve">That's a stupid idea.</t>
  </si>
  <si>
    <t xml:space="preserve">En inglés profesional se suaviza el desacuerdo: "I'd push back a bit", "I see it slightly differently".</t>
  </si>
  <si>
    <t xml:space="preserve">I see your point, but I'd push back a little on that, because in my experience it adds complexity we don't need yet.</t>
  </si>
  <si>
    <t xml:space="preserve">Entiendo lo que dices, pero no estoy del todo de acuerdo, porque en mi experiencia añade una complejidad que todavía no necesitamos.</t>
  </si>
  <si>
    <t xml:space="preserve">com-ingles-S2</t>
  </si>
  <si>
    <t xml:space="preserve">"Llevé a cabo la migración" →</t>
  </si>
  <si>
    <t xml:space="preserve">I led / carried out the migration.</t>
  </si>
  <si>
    <t xml:space="preserve">I realized the migration.</t>
  </si>
  <si>
    <t xml:space="preserve">I made the migration realized.</t>
  </si>
  <si>
    <t xml:space="preserve">I carried the migration.</t>
  </si>
  <si>
    <t xml:space="preserve">Realize = darse cuenta. Para "realizar" usa carry out, do, lead o implement.</t>
  </si>
  <si>
    <t xml:space="preserve">com-ingles-S3</t>
  </si>
  <si>
    <t xml:space="preserve">If I ___ known about the issue earlier, I would have fixed it before the release.</t>
  </si>
  <si>
    <t xml:space="preserve">had</t>
  </si>
  <si>
    <t xml:space="preserve">have</t>
  </si>
  <si>
    <t xml:space="preserve">would</t>
  </si>
  <si>
    <t xml:space="preserve">was</t>
  </si>
  <si>
    <t xml:space="preserve">Tercer condicional: If + had + participio, would have + participio.</t>
  </si>
  <si>
    <t xml:space="preserve">ang-components-J1</t>
  </si>
  <si>
    <t xml:space="preserve">Pulsas el botón tres veces. ¿Qué muestra?</t>
  </si>
  <si>
    <t xml:space="preserve">@Component({
  selector: 'app-counter',
  template: `&lt;button (click)="inc()"&gt;{{ count() }}&lt;/button&gt;`,
})
export class Counter {
  count = signal(0);
  inc() { this.count.update(c =&gt; c + 1); }
}</t>
  </si>
  <si>
    <t xml:space="preserve">3</t>
  </si>
  <si>
    <t xml:space="preserve">0, porque las signals no se actualizan en la plantilla</t>
  </si>
  <si>
    <t xml:space="preserve">Un error: falta standalone: true</t>
  </si>
  <si>
    <t xml:space="preserve">count()</t>
  </si>
  <si>
    <t xml:space="preserve">update() recibe el valor actual y devuelve el nuevo. En Angular reciente los componentes son standalone por defecto.</t>
  </si>
  <si>
    <t xml:space="preserve">ang-components-J2</t>
  </si>
  <si>
    <t xml:space="preserve">¿Qué tipo de binding es `[disabled]="isSaving"`?</t>
  </si>
  <si>
    <t xml:space="preserve">Property binding (del componente a la vista)</t>
  </si>
  <si>
    <t xml:space="preserve">Event binding (de la vista al componente)</t>
  </si>
  <si>
    <t xml:space="preserve">Two-way binding</t>
  </si>
  <si>
    <t xml:space="preserve">Interpolación</t>
  </si>
  <si>
    <t xml:space="preserve">Los corchetes enlazan una propiedad del DOM con un valor del componente. Los paréntesis son eventos y `[( )]` es two-way.</t>
  </si>
  <si>
    <t xml:space="preserve">ang-components-J3</t>
  </si>
  <si>
    <t xml:space="preserve">Para que un hijo emita eventos al padre se declara `saved = ___&lt;Item&gt;();`</t>
  </si>
  <si>
    <t xml:space="preserve">output</t>
  </si>
  <si>
    <t xml:space="preserve">input</t>
  </si>
  <si>
    <t xml:space="preserve">signal</t>
  </si>
  <si>
    <t xml:space="preserve">model</t>
  </si>
  <si>
    <t xml:space="preserve">`output()` crea el emisor; el padre escucha con `(saved)="onSaved($event)"`. Con decoradores sería `@Output()` y un EventEmitter.</t>
  </si>
  <si>
    <t xml:space="preserve">ang-components-J4</t>
  </si>
  <si>
    <t xml:space="preserve">Si `user()` devuelve null, ¿qué se pinta?</t>
  </si>
  <si>
    <t xml:space="preserve">@if (user(); as u) {
  &lt;p&gt;Hola, {{ u.name }}&lt;/p&gt;
} @else {
  &lt;p&gt;Inicia sesión&lt;/p&gt;
}</t>
  </si>
  <si>
    <t xml:space="preserve">Inicia sesión</t>
  </si>
  <si>
    <t xml:space="preserve">Hola, </t>
  </si>
  <si>
    <t xml:space="preserve">Nada</t>
  </si>
  <si>
    <t xml:space="preserve">Un error en consola</t>
  </si>
  <si>
    <t xml:space="preserve">`@if` evalúa la condición: con null pasa al bloque `@else`. El alias `as u` solo existe dentro del bloque `@if`.</t>
  </si>
  <si>
    <t xml:space="preserve">ang-components-M1</t>
  </si>
  <si>
    <t xml:space="preserve">¿Qué falta para que compile este bucle?</t>
  </si>
  <si>
    <t xml:space="preserve">@for (item of items()) {
  &lt;li&gt;{{ item.name }}&lt;/li&gt;
}</t>
  </si>
  <si>
    <t xml:space="preserve">`track`, por ejemplo `track item.id`: es obligatorio en `@for`</t>
  </si>
  <si>
    <t xml:space="preserve">Un `*ngFor` en el elemento padre</t>
  </si>
  <si>
    <t xml:space="preserve">Declarar `let i = index`</t>
  </si>
  <si>
    <t xml:space="preserve">Nada, compila tal cual</t>
  </si>
  <si>
    <t xml:space="preserve">En el control flow integrado `track` es obligatorio. Con un identificador estable, Angular reutiliza los elementos del DOM.</t>
  </si>
  <si>
    <t xml:space="preserve">ang-components-M2</t>
  </si>
  <si>
    <t xml:space="preserve">¿Dónde aparece el `&lt;p&gt;`?</t>
  </si>
  <si>
    <t xml:space="preserve">&lt;!-- card.html --&gt;
&lt;header&gt;&lt;ng-content select="[card-title]" /&gt;&lt;/header&gt;
&lt;ng-content /&gt;
&lt;!-- uso --&gt;
&lt;app-card&gt;
  &lt;h2 card-title&gt;Título&lt;/h2&gt;
  &lt;p&gt;Texto&lt;/p&gt;
&lt;/app-card&gt;</t>
  </si>
  <si>
    <t xml:space="preserve">En el `&lt;ng-content /&gt;` sin selector, debajo del header</t>
  </si>
  <si>
    <t xml:space="preserve">Dentro del header</t>
  </si>
  <si>
    <t xml:space="preserve">En ningún sitio: solo se proyecta lo que coincide con un selector</t>
  </si>
  <si>
    <t xml:space="preserve">Duplicado en los dos huecos</t>
  </si>
  <si>
    <t xml:space="preserve">Lo que coincide con `select` va a ese hueco; el resto va al `&lt;ng-content /&gt;` sin selector.</t>
  </si>
  <si>
    <t xml:space="preserve">ang-components-M3</t>
  </si>
  <si>
    <t xml:space="preserve">El padre usa `&lt;app-user /&gt;` sin pasar `[name]`. ¿Qué ocurre?</t>
  </si>
  <si>
    <t xml:space="preserve">export class UserCard {
  name = input.required&lt;string&gt;();
}</t>
  </si>
  <si>
    <t xml:space="preserve">Error de compilación: el input es obligatorio</t>
  </si>
  <si>
    <t xml:space="preserve">`name()` devuelve undefined</t>
  </si>
  <si>
    <t xml:space="preserve">`name()` devuelve una cadena vacía</t>
  </si>
  <si>
    <t xml:space="preserve">Error solo en ejecución al leerlo</t>
  </si>
  <si>
    <t xml:space="preserve">`input.required` obliga al padre a enlazarlo; el compilador de plantillas lo comprueba.</t>
  </si>
  <si>
    <t xml:space="preserve">ang-components-M4</t>
  </si>
  <si>
    <t xml:space="preserve">¿Qué permite `model()`?</t>
  </si>
  <si>
    <t xml:space="preserve">// hijo
value = model(0);
increment() { this.value.update(v =&gt; v + 1); }
// padre
&lt;app-stepper [(value)]="qty" /&gt;</t>
  </si>
  <si>
    <t xml:space="preserve">Two-way binding: el hijo puede hacer `value.set()` y el padre recibe el cambio</t>
  </si>
  <si>
    <t xml:space="preserve">Solo leer el valor del padre</t>
  </si>
  <si>
    <t xml:space="preserve">Crear un formulario reactivo</t>
  </si>
  <si>
    <t xml:space="preserve">Compartir estado global</t>
  </si>
  <si>
    <t xml:space="preserve">`model()` es un input escribible. El padre lo enlaza con `[(value)]`.</t>
  </si>
  <si>
    <t xml:space="preserve">ang-components-S1</t>
  </si>
  <si>
    <t xml:space="preserve">¿Diferencia entre `viewChild()` y `contentChild()`?</t>
  </si>
  <si>
    <t xml:space="preserve">viewChild busca en la plantilla propia del componente; contentChild en el contenido proyectado por el padre</t>
  </si>
  <si>
    <t xml:space="preserve">Son sinónimos</t>
  </si>
  <si>
    <t xml:space="preserve">contentChild solo funciona con directivas</t>
  </si>
  <si>
    <t xml:space="preserve">viewChild solo funciona tras ngOnDestroy</t>
  </si>
  <si>
    <t xml:space="preserve">La vista es lo que declara tu plantilla; el contenido es lo que el padre mete entre tus etiquetas.</t>
  </si>
  <si>
    <t xml:space="preserve">ang-components-S2</t>
  </si>
  <si>
    <t xml:space="preserve">¿Para qué sirve `hostDirectives` en un componente?</t>
  </si>
  <si>
    <t xml:space="preserve">Aplicar directivas standalone al elemento host por composición, sin herencia</t>
  </si>
  <si>
    <t xml:space="preserve">Inyectar servicios en el host</t>
  </si>
  <si>
    <t xml:space="preserve">Crear rutas hijas</t>
  </si>
  <si>
    <t xml:space="preserve">Cambiar el selector en tiempo de ejecución</t>
  </si>
  <si>
    <t xml:space="preserve">Permite reutilizar comportamiento (tooltip, focus, a11y) componiéndolo, en lugar de heredar de clases base.</t>
  </si>
  <si>
    <t xml:space="preserve">ang-components-S3</t>
  </si>
  <si>
    <t xml:space="preserve">¿Por qué usar `setInput` en lugar de `ref.instance.message = ...`?</t>
  </si>
  <si>
    <t xml:space="preserve">private vcr = inject(ViewContainerRef);
open() {
  const ref = this.vcr.createComponent(AlertComponent);
  ref.setInput('message', 'Guardado');
}</t>
  </si>
  <si>
    <t xml:space="preserve">Actualiza el input a través de Angular: funciona con `input()` signals y marca el componente para revisión</t>
  </si>
  <si>
    <t xml:space="preserve">Es más rápido de escribir</t>
  </si>
  <si>
    <t xml:space="preserve">Porque instance no existe</t>
  </si>
  <si>
    <t xml:space="preserve">No hay diferencia</t>
  </si>
  <si>
    <t xml:space="preserve">Con inputs basados en signals no puedes asignar directamente; `setInput` además dispara la detección de cambios correcta.</t>
  </si>
  <si>
    <t xml:space="preserve">ang-components-S4</t>
  </si>
  <si>
    <t xml:space="preserve">Con `ViewEncapsulation.Emulated` (por defecto), ¿cómo se aíslan los estilos?</t>
  </si>
  <si>
    <t xml:space="preserve">Angular añade atributos únicos (`_ngcontent-…`) a los elementos y reescribe los selectores</t>
  </si>
  <si>
    <t xml:space="preserve">Usa Shadow DOM real</t>
  </si>
  <si>
    <t xml:space="preserve">No se aíslan</t>
  </si>
  <si>
    <t xml:space="preserve">Prefija las clases con el nombre del componente</t>
  </si>
  <si>
    <t xml:space="preserve">Por eso un estilo de un componente no afecta a otros. `ShadowDom` sí usa Shadow DOM nativo, y `None` hace los estilos globales.</t>
  </si>
  <si>
    <t xml:space="preserve">ang-signals-J1</t>
  </si>
  <si>
    <t xml:space="preserve">¿Cómo lees el valor de una signal `count`?</t>
  </si>
  <si>
    <t xml:space="preserve">count.value</t>
  </si>
  <si>
    <t xml:space="preserve">count.get</t>
  </si>
  <si>
    <t xml:space="preserve">await count</t>
  </si>
  <si>
    <t xml:space="preserve">Una signal es una función: se lee llamándola. Para escribir: `set()` o `update()`.</t>
  </si>
  <si>
    <t xml:space="preserve">ang-signals-J2</t>
  </si>
  <si>
    <t xml:space="preserve">Para cambiar una signal a partir de su valor anterior se usa `___`.</t>
  </si>
  <si>
    <t xml:space="preserve">update()</t>
  </si>
  <si>
    <t xml:space="preserve">set()</t>
  </si>
  <si>
    <t xml:space="preserve">next()</t>
  </si>
  <si>
    <t xml:space="preserve">patch()</t>
  </si>
  <si>
    <t xml:space="preserve">`set()` pone un valor nuevo; `update()` recibe el valor actual y devuelve el nuevo.</t>
  </si>
  <si>
    <t xml:space="preserve">ang-signals-J3</t>
  </si>
  <si>
    <t xml:space="preserve">¿Qué se imprime?</t>
  </si>
  <si>
    <t xml:space="preserve">const price = signal(10);
const qty = signal(2);
const total = computed(() =&gt; price() * qty());
qty.set(3);
console.log(total());</t>
  </si>
  <si>
    <t xml:space="preserve">30</t>
  </si>
  <si>
    <t xml:space="preserve">20</t>
  </si>
  <si>
    <t xml:space="preserve">undefined</t>
  </si>
  <si>
    <t xml:space="preserve">Error: computed es de solo lectura</t>
  </si>
  <si>
    <t xml:space="preserve">`computed` se recalcula al leerlo si cambió alguna signal de la que depende: 10 × 3.</t>
  </si>
  <si>
    <t xml:space="preserve">ang-signals-J4</t>
  </si>
  <si>
    <t xml:space="preserve">¿Qué es `computed()`?</t>
  </si>
  <si>
    <t xml:space="preserve">Una signal de solo lectura derivada de otras, que se recalcula cuando cambian</t>
  </si>
  <si>
    <t xml:space="preserve">Una signal que hace peticiones HTTP</t>
  </si>
  <si>
    <t xml:space="preserve">Un efecto secundario</t>
  </si>
  <si>
    <t xml:space="preserve">Un observable</t>
  </si>
  <si>
    <t xml:space="preserve">Ejemplo: `total = computed(() =&gt; items().length)`. Es perezosa y memoizada.</t>
  </si>
  <si>
    <t xml:space="preserve">ang-signals-M1</t>
  </si>
  <si>
    <t xml:space="preserve">La lista no se actualiza en pantalla. ¿Por qué?</t>
  </si>
  <si>
    <t xml:space="preserve">items = signal&lt;string[]&gt;([]);
add(item: string) {
  this.items().push(item);
}</t>
  </si>
  <si>
    <t xml:space="preserve">Se muta el array sin `set`/`update`, así que la signal no notifica el cambio</t>
  </si>
  <si>
    <t xml:space="preserve">`push` no existe en signals</t>
  </si>
  <si>
    <t xml:space="preserve">Falta un `effect()`</t>
  </si>
  <si>
    <t xml:space="preserve">Hay que llamar a `detectChanges()`</t>
  </si>
  <si>
    <t xml:space="preserve">Solución: `this.items.update(list =&gt; [...list, item])`. Las signals comparan por referencia.</t>
  </si>
  <si>
    <t xml:space="preserve">ang-signals-M2</t>
  </si>
  <si>
    <t xml:space="preserve">¿Para qué se usa `effect()`?</t>
  </si>
  <si>
    <t xml:space="preserve">Para efectos secundarios cuando cambian signals (logs, localStorage, sincronizar con una librería externa)</t>
  </si>
  <si>
    <t xml:space="preserve">Para derivar valores</t>
  </si>
  <si>
    <t xml:space="preserve">Para sustituir a computed</t>
  </si>
  <si>
    <t xml:space="preserve">Para el binding de la plantilla</t>
  </si>
  <si>
    <t xml:space="preserve">No se debe usar para copiar una signal en otra: para eso está `computed` (o `linkedSignal`).</t>
  </si>
  <si>
    <t xml:space="preserve">ang-signals-M3</t>
  </si>
  <si>
    <t xml:space="preserve">Para convertir un observable en signal: `user = ___(this.http.get&lt;User&gt;('/api/me'));`</t>
  </si>
  <si>
    <t xml:space="preserve">toSignal</t>
  </si>
  <si>
    <t xml:space="preserve">toObservable</t>
  </si>
  <si>
    <t xml:space="preserve">computed</t>
  </si>
  <si>
    <t xml:space="preserve">effect</t>
  </si>
  <si>
    <t xml:space="preserve">`toSignal` (de `@angular/core/rxjs-interop`) se suscribe y se desuscribe solo al destruirse el contexto.</t>
  </si>
  <si>
    <t xml:space="preserve">ang-signals-M4</t>
  </si>
  <si>
    <t xml:space="preserve">¿Dónde guardarías un estado sencillo compartido entre componentes?</t>
  </si>
  <si>
    <t xml:space="preserve">En un servicio inyectable con signals privadas y métodos para modificarlas</t>
  </si>
  <si>
    <t xml:space="preserve">En variables globales de window</t>
  </si>
  <si>
    <t xml:space="preserve">En localStorage leído en cada render</t>
  </si>
  <si>
    <t xml:space="preserve">En un input que pase por toda la jerarquía</t>
  </si>
  <si>
    <t xml:space="preserve">Exponer `asReadonly()` evita que cualquiera modifique el estado sin pasar por el servicio.</t>
  </si>
  <si>
    <t xml:space="preserve">ang-signals-S1</t>
  </si>
  <si>
    <t xml:space="preserve">¿Qué cambiarías aquí?</t>
  </si>
  <si>
    <t xml:space="preserve">first = signal('Ana');
last = signal('Pérez');
full = signal('');
constructor() {
  effect(() =&gt; this.full.set(`${this.first()} ${this.last()}`));
}</t>
  </si>
  <si>
    <t xml:space="preserve">Usar `computed`: `full = computed(() =&gt; ...)`. Un effect para copiar signals sobra y es propenso a errores</t>
  </si>
  <si>
    <t xml:space="preserve">Nada, es el patrón recomendado</t>
  </si>
  <si>
    <t xml:space="preserve">Usar `setTimeout` dentro del effect</t>
  </si>
  <si>
    <t xml:space="preserve">Mover el effect a ngOnInit</t>
  </si>
  <si>
    <t xml:space="preserve">Los valores derivados se expresan con `computed`. Los effects son para hablar con el mundo exterior.</t>
  </si>
  <si>
    <t xml:space="preserve">ang-signals-S2</t>
  </si>
  <si>
    <t xml:space="preserve">¿Qué consigue `untracked`?</t>
  </si>
  <si>
    <t xml:space="preserve">effect(() =&gt; {
  const id = this.userId();
  untracked(() =&gt; this.logger.log(id, this.theme()));
});</t>
  </si>
  <si>
    <t xml:space="preserve">Leer `theme()` sin que el effect se vuelva a ejecutar cuando cambie theme</t>
  </si>
  <si>
    <t xml:space="preserve">Desactivar el effect</t>
  </si>
  <si>
    <t xml:space="preserve">Ejecutar el log en otro hilo</t>
  </si>
  <si>
    <t xml:space="preserve">Nada, es solo estilo</t>
  </si>
  <si>
    <t xml:space="preserve">El effect solo depende de `userId`. Lo leído dentro de `untracked` no se registra como dependencia.</t>
  </si>
  <si>
    <t xml:space="preserve">ang-signals-S3</t>
  </si>
  <si>
    <t xml:space="preserve">Para una signal que depende de otra pero que también se puede editar a mano se usa `___`.</t>
  </si>
  <si>
    <t xml:space="preserve">linkedSignal()</t>
  </si>
  <si>
    <t xml:space="preserve">computed()</t>
  </si>
  <si>
    <t xml:space="preserve">effect()</t>
  </si>
  <si>
    <t xml:space="preserve">toSignal()</t>
  </si>
  <si>
    <t xml:space="preserve">Útil, por ejemplo, para una opción seleccionada que se reinicia cuando cambia la lista.</t>
  </si>
  <si>
    <t xml:space="preserve">ang-signals-S4</t>
  </si>
  <si>
    <t xml:space="preserve">¿Cuándo tendría sentido NgRx (o una store similar)?</t>
  </si>
  <si>
    <t xml:space="preserve">Cuando muchas partes comparten estado complejo y conviene un flujo predecible y trazable con herramientas de depuración</t>
  </si>
  <si>
    <t xml:space="preserve">Siempre, en cualquier app</t>
  </si>
  <si>
    <t xml:space="preserve">Nunca, las signals lo sustituyen</t>
  </si>
  <si>
    <t xml:space="preserve">Solo para formularios</t>
  </si>
  <si>
    <t xml:space="preserve">Para estado sencillo basta un servicio con signals. NgRx Signal Store es una opción intermedia.</t>
  </si>
  <si>
    <t xml:space="preserve">ang-rxjs-J1</t>
  </si>
  <si>
    <t xml:space="preserve">¿Qué es un Observable?</t>
  </si>
  <si>
    <t xml:space="preserve">Un flujo de valores que llegan a lo largo del tiempo y al que te suscribes</t>
  </si>
  <si>
    <t xml:space="preserve">Una promesa que siempre devuelve un valor</t>
  </si>
  <si>
    <t xml:space="preserve">Una variable global</t>
  </si>
  <si>
    <t xml:space="preserve">Un tipo de componente</t>
  </si>
  <si>
    <t xml:space="preserve">A diferencia de una Promise, puede emitir muchos valores y es perezoso: no hace nada hasta que alguien se suscribe.</t>
  </si>
  <si>
    <t xml:space="preserve">ang-rxjs-J2</t>
  </si>
  <si>
    <t xml:space="preserve">of(1, 2, 3, 4).pipe(
  filter(n =&gt; n % 2 === 0),
  map(n =&gt; n * 10)
).subscribe(console.log);</t>
  </si>
  <si>
    <t xml:space="preserve">20 y 40</t>
  </si>
  <si>
    <t xml:space="preserve">10, 20, 30 y 40</t>
  </si>
  <si>
    <t xml:space="preserve">2 y 4</t>
  </si>
  <si>
    <t xml:space="preserve">60</t>
  </si>
  <si>
    <t xml:space="preserve">`filter` deja pasar los pares (2 y 4) y `map` los multiplica por 10.</t>
  </si>
  <si>
    <t xml:space="preserve">ang-rxjs-J3</t>
  </si>
  <si>
    <t xml:space="preserve">¿Qué operador sirve para hacer algo sin cambiar el valor (por ejemplo, un log)?</t>
  </si>
  <si>
    <t xml:space="preserve">tap</t>
  </si>
  <si>
    <t xml:space="preserve">map</t>
  </si>
  <si>
    <t xml:space="preserve">filter</t>
  </si>
  <si>
    <t xml:space="preserve">take</t>
  </si>
  <si>
    <t xml:space="preserve">`tap` ejecuta un efecto secundario y deja pasar el valor tal cual.</t>
  </si>
  <si>
    <t xml:space="preserve">ang-rxjs-J4</t>
  </si>
  <si>
    <t xml:space="preserve">Para evitar fugas de memoria hay que ___ de los observables que no se completan solos.</t>
  </si>
  <si>
    <t xml:space="preserve">desuscribirse</t>
  </si>
  <si>
    <t xml:space="preserve">suscribirse dos veces</t>
  </si>
  <si>
    <t xml:space="preserve">reiniciar</t>
  </si>
  <si>
    <t xml:space="preserve">compilar</t>
  </si>
  <si>
    <t xml:space="preserve">Formas habituales: pipe `async`, `takeUntilDestroyed()` o `toSignal()`.</t>
  </si>
  <si>
    <t xml:space="preserve">ang-rxjs-M1</t>
  </si>
  <si>
    <t xml:space="preserve">Buscador: el usuario escribe rápido y solo importa la última petición. ¿Qué operador?</t>
  </si>
  <si>
    <t xml:space="preserve">switchMap</t>
  </si>
  <si>
    <t xml:space="preserve">mergeMap</t>
  </si>
  <si>
    <t xml:space="preserve">concatMap</t>
  </si>
  <si>
    <t xml:space="preserve">exhaustMap</t>
  </si>
  <si>
    <t xml:space="preserve">switchMap cancela la petición anterior al llegar un valor nuevo. Se combina con `debounceTime` y `distinctUntilChanged`.</t>
  </si>
  <si>
    <t xml:space="preserve">ang-rxjs-M2</t>
  </si>
  <si>
    <t xml:space="preserve">Botón de pagar: ignorar clics mientras la primera petición está en curso.</t>
  </si>
  <si>
    <t xml:space="preserve">exhaustMap ignora lo que llega mientras hay algo en marcha. concatMap haría cola; mergeMap lanzaría todas.</t>
  </si>
  <si>
    <t xml:space="preserve">ang-rxjs-M3</t>
  </si>
  <si>
    <t xml:space="preserve">¿Cuándo se ejecuta el subscribe?</t>
  </si>
  <si>
    <t xml:space="preserve">forkJoin({
  user: this.http.get('/api/user'),
  orders: this.http.get('/api/orders'),
}).subscribe(r =&gt; console.log(r));</t>
  </si>
  <si>
    <t xml:space="preserve">Una vez, cuando las dos peticiones han terminado, con `{ user, orders }`</t>
  </si>
  <si>
    <t xml:space="preserve">Dos veces, una por petición</t>
  </si>
  <si>
    <t xml:space="preserve">En cuanto llega la primera respuesta</t>
  </si>
  <si>
    <t xml:space="preserve">Nunca: forkJoin solo acepta arrays</t>
  </si>
  <si>
    <t xml:space="preserve">forkJoin espera a que todos se completen y emite el último valor de cada uno. combineLatest, en cambio, emite en cada cambio.</t>
  </si>
  <si>
    <t xml:space="preserve">ang-rxjs-M4</t>
  </si>
  <si>
    <t xml:space="preserve">¿Qué hace `takeUntilDestroyed()`?</t>
  </si>
  <si>
    <t xml:space="preserve">constructor() {
  interval(1000)
    .pipe(takeUntilDestroyed())
    .subscribe(n =&gt; this.ticks.set(n));
}</t>
  </si>
  <si>
    <t xml:space="preserve">Completa la suscripción automáticamente cuando se destruye el componente</t>
  </si>
  <si>
    <t xml:space="preserve">Retrasa el primer valor</t>
  </si>
  <si>
    <t xml:space="preserve">Hace que el intervalo empiece cuando el componente se pinta</t>
  </si>
  <si>
    <t xml:space="preserve">Nada si no se le pasa argumento</t>
  </si>
  <si>
    <t xml:space="preserve">Sin argumento debe llamarse en un contexto de inyección, como el constructor.</t>
  </si>
  <si>
    <t xml:space="preserve">ang-rxjs-S1</t>
  </si>
  <si>
    <t xml:space="preserve">Tras el primer error de la API, el buscador deja de funcionar. ¿Por qué?</t>
  </si>
  <si>
    <t xml:space="preserve">this.search$.pipe(
  switchMap(term =&gt; this.api.search(term)),
  catchError(() =&gt; of([]))
).subscribe(results =&gt; this.results.set(results));</t>
  </si>
  <si>
    <t xml:space="preserve">`catchError` está en el flujo exterior: al capturar el error el observable se completa. Hay que ponerlo dentro del switchMap</t>
  </si>
  <si>
    <t xml:space="preserve">switchMap no admite errores</t>
  </si>
  <si>
    <t xml:space="preserve">Falta un `retry()` infinito</t>
  </si>
  <si>
    <t xml:space="preserve">`of([])` no es un observable válido</t>
  </si>
  <si>
    <t xml:space="preserve">Patrón correcto: `switchMap(term =&gt; this.api.search(term).pipe(catchError(() =&gt; of([]))))`.</t>
  </si>
  <si>
    <t xml:space="preserve">ang-rxjs-S2</t>
  </si>
  <si>
    <t xml:space="preserve">¿Qué es cierto sobre los observables hot y cold?</t>
  </si>
  <si>
    <t xml:space="preserve">Un cold crea su productor por cada suscriptor (p. ej. HTTP); un hot comparte un productor ya existente (eventos del DOM, Subjects)</t>
  </si>
  <si>
    <t xml:space="preserve">Hot significa que da error</t>
  </si>
  <si>
    <t xml:space="preserve">Cold significa que ya está completado</t>
  </si>
  <si>
    <t xml:space="preserve">No hay diferencia práctica</t>
  </si>
  <si>
    <t xml:space="preserve">Por eso cada suscripción a un `http.get` repite la petición, salvo que la compartas.</t>
  </si>
  <si>
    <t xml:space="preserve">ang-rxjs-S3</t>
  </si>
  <si>
    <t xml:space="preserve">¿Qué hace `shareReplay({ bufferSize: 1, refCount: true })`?</t>
  </si>
  <si>
    <t xml:space="preserve">Comparte una única ejecución, repite el último valor a los nuevos suscriptores y se desuscribe del origen cuando no queda nadie</t>
  </si>
  <si>
    <t xml:space="preserve">Repite la petición en cada suscripción</t>
  </si>
  <si>
    <t xml:space="preserve">Guarda todos los valores para siempre</t>
  </si>
  <si>
    <t xml:space="preserve">Convierte el observable en una promesa</t>
  </si>
  <si>
    <t xml:space="preserve">Con `refCount: false` la suscripción al origen sigue viva aunque no haya suscriptores.</t>
  </si>
  <si>
    <t xml:space="preserve">ang-rxjs-S4</t>
  </si>
  <si>
    <t xml:space="preserve">¿Qué problema tiene anidar `subscribe` dentro de otro `subscribe`?</t>
  </si>
  <si>
    <t xml:space="preserve">Se pierde la cancelación y el control de errores, y aparecen condiciones de carrera y fugas</t>
  </si>
  <si>
    <t xml:space="preserve">Es más rápido</t>
  </si>
  <si>
    <t xml:space="preserve">Angular lo prohíbe al compilar</t>
  </si>
  <si>
    <t xml:space="preserve">Ninguno</t>
  </si>
  <si>
    <t xml:space="preserve">La solución es aplanar con `switchMap`, `concatMap` o `mergeMap`.</t>
  </si>
  <si>
    <t xml:space="preserve">ang-cd-J1</t>
  </si>
  <si>
    <t xml:space="preserve">¿Qué hace Zone.js en una app Angular clásica?</t>
  </si>
  <si>
    <t xml:space="preserve">Avisa a Angular cuando termina un evento asíncrono para que revise la vista</t>
  </si>
  <si>
    <t xml:space="preserve">Gestiona las rutas</t>
  </si>
  <si>
    <t xml:space="preserve">Compila las plantillas</t>
  </si>
  <si>
    <t xml:space="preserve">Guarda el estado global</t>
  </si>
  <si>
    <t xml:space="preserve">Parchea clics, timers y peticiones. Las apps nuevas pueden funcionar sin él (zoneless).</t>
  </si>
  <si>
    <t xml:space="preserve">ang-cd-J2</t>
  </si>
  <si>
    <t xml:space="preserve">¿Qué problema puede tener esto?</t>
  </si>
  <si>
    <t xml:space="preserve">@Component({
  template: `&lt;p&gt;Total: {{ getTotal() }}&lt;/p&gt;`,
})
export class Cart {
  getTotal() { return this.items.reduce((s, i) =&gt; s + i.price, 0); }
}</t>
  </si>
  <si>
    <t xml:space="preserve">`getTotal()` se ejecuta en cada ciclo de detección de cambios; si es costosa, penaliza el rendimiento</t>
  </si>
  <si>
    <t xml:space="preserve">No compila: no se pueden llamar funciones en plantillas</t>
  </si>
  <si>
    <t xml:space="preserve">Solo se ejecuta una vez y no se actualiza</t>
  </si>
  <si>
    <t xml:space="preserve">Mejor un `computed`, una propiedad calculada o un pipe puro.</t>
  </si>
  <si>
    <t xml:space="preserve">ang-cd-J3</t>
  </si>
  <si>
    <t xml:space="preserve">¿Para qué sirve el pipe `async`?</t>
  </si>
  <si>
    <t xml:space="preserve">Se suscribe a un observable en la plantilla y se desuscribe solo al destruirse el componente</t>
  </si>
  <si>
    <t xml:space="preserve">Hace la petición HTTP más rápida</t>
  </si>
  <si>
    <t xml:space="preserve">Convierte texto a mayúsculas</t>
  </si>
  <si>
    <t xml:space="preserve">Ejecuta código en segundo plano</t>
  </si>
  <si>
    <t xml:space="preserve">Evita fugas por suscripciones olvidadas y funciona bien con OnPush.</t>
  </si>
  <si>
    <t xml:space="preserve">ang-cd-J4</t>
  </si>
  <si>
    <t xml:space="preserve">En `@for`, la expresión `___` permite a Angular reutilizar los elementos del DOM.</t>
  </si>
  <si>
    <t xml:space="preserve">track</t>
  </si>
  <si>
    <t xml:space="preserve">key</t>
  </si>
  <si>
    <t xml:space="preserve">index</t>
  </si>
  <si>
    <t xml:space="preserve">trackBy()</t>
  </si>
  <si>
    <t xml:space="preserve">Con un identificador estable, Angular solo toca los elementos que cambian.</t>
  </si>
  <si>
    <t xml:space="preserve">ang-cd-M1</t>
  </si>
  <si>
    <t xml:space="preserve">¿Se actualiza la tarjeta tras este cambio en el padre?</t>
  </si>
  <si>
    <t xml:space="preserve">@Component({ changeDetection: ChangeDetectionStrategy.OnPush, ... })
export class UserCard {
  @Input() user!: User;
}
// en el padre
this.user.name = 'Nuevo nombre';</t>
  </si>
  <si>
    <t xml:space="preserve">No: la referencia de `user` no cambia. Hay que pasar un objeto nuevo (`{ ...user, name }`)</t>
  </si>
  <si>
    <t xml:space="preserve">Sí, siempre</t>
  </si>
  <si>
    <t xml:space="preserve">Solo si se usa el pipe async</t>
  </si>
  <si>
    <t xml:space="preserve">Sí, pero con un ciclo de retraso</t>
  </si>
  <si>
    <t xml:space="preserve">OnPush compara referencias de los inputs. Mutar no cambia la referencia.</t>
  </si>
  <si>
    <t xml:space="preserve">ang-cd-M2</t>
  </si>
  <si>
    <t xml:space="preserve">¿Diferencia entre `markForCheck()` y `detectChanges()`?</t>
  </si>
  <si>
    <t xml:space="preserve">markForCheck marca el componente y sus ancestros para el próximo ciclo; detectChanges lo revisa al momento</t>
  </si>
  <si>
    <t xml:space="preserve">Son idénticos</t>
  </si>
  <si>
    <t xml:space="preserve">detectChanges solo funciona con Default</t>
  </si>
  <si>
    <t xml:space="preserve">markForCheck destruye la vista</t>
  </si>
  <si>
    <t xml:space="preserve">markForCheck es lo habitual con OnPush; detectChanges se usa en casos puntuales o en tests.</t>
  </si>
  <si>
    <t xml:space="preserve">ang-cd-M3</t>
  </si>
  <si>
    <t xml:space="preserve">¿Por qué un pipe puro en vez de llamar a una función en la plantilla?</t>
  </si>
  <si>
    <t xml:space="preserve">El pipe puro solo se recalcula cuando cambian sus entradas (por referencia)</t>
  </si>
  <si>
    <t xml:space="preserve">Los pipes se ejecutan en el servidor</t>
  </si>
  <si>
    <t xml:space="preserve">Las funciones no pueden recibir parámetros</t>
  </si>
  <si>
    <t xml:space="preserve">Un pipe puro memoriza el resultado mientras las entradas no cambien.</t>
  </si>
  <si>
    <t xml:space="preserve">ang-cd-M4</t>
  </si>
  <si>
    <t xml:space="preserve">Una lista de 10.000 filas va lenta. ¿Qué es lo más efectivo?</t>
  </si>
  <si>
    <t xml:space="preserve">Virtual scrolling (CDK) más `track` y OnPush</t>
  </si>
  <si>
    <t xml:space="preserve">Aumentar la memoria del navegador</t>
  </si>
  <si>
    <t xml:space="preserve">Meterlo todo en setTimeout</t>
  </si>
  <si>
    <t xml:space="preserve">Usar más pipes impuros</t>
  </si>
  <si>
    <t xml:space="preserve">El virtual scroll solo pinta las filas visibles, así el DOM sigue pequeño.</t>
  </si>
  <si>
    <t xml:space="preserve">ang-cd-S1</t>
  </si>
  <si>
    <t xml:space="preserve">¿Qué ocurre aquí?</t>
  </si>
  <si>
    <t xml:space="preserve">@defer (on viewport) {
  &lt;app-sales-chart /&gt;
} @placeholder {
  &lt;div class="skeleton"&gt;&lt;/div&gt;
}</t>
  </si>
  <si>
    <t xml:space="preserve">El código de `app-sales-chart` va en un chunk aparte y se carga cuando el placeholder entra en pantalla</t>
  </si>
  <si>
    <t xml:space="preserve">El gráfico se pinta en el servidor</t>
  </si>
  <si>
    <t xml:space="preserve">Se retrasa la detección de cambios de toda la página</t>
  </si>
  <si>
    <t xml:space="preserve">Se carga al arrancar pero se oculta</t>
  </si>
  <si>
    <t xml:space="preserve">`@defer` reduce el bundle inicial sin crear rutas nuevas. Otros disparadores: `on idle`, `on interaction`, `on hover`, `when cond`.</t>
  </si>
  <si>
    <t xml:space="preserve">ang-cd-S2</t>
  </si>
  <si>
    <t xml:space="preserve">¿Qué implica pasar una app a zoneless?</t>
  </si>
  <si>
    <t xml:space="preserve">La detección la disparan signals, eventos de plantilla y markForCheck; lo que dependía de Zone.js para refrescar hay que adaptarlo</t>
  </si>
  <si>
    <t xml:space="preserve">No cambia nada</t>
  </si>
  <si>
    <t xml:space="preserve">Ya no hace falta OnPush ni signals</t>
  </si>
  <si>
    <t xml:space="preserve">Solo afecta a los tests</t>
  </si>
  <si>
    <t xml:space="preserve">Gana en rendimiento y tamaño, pero un `setTimeout` que cambia una propiedad normal ya no refresca la vista solo.</t>
  </si>
  <si>
    <t xml:space="preserve">ang-cd-S3</t>
  </si>
  <si>
    <t xml:space="preserve">¿Qué aporta el SSR con hidratación?</t>
  </si>
  <si>
    <t xml:space="preserve">Primer pintado más rápido y mejor SEO; la hidratación reutiliza el DOM del servidor en vez de recrearlo</t>
  </si>
  <si>
    <t xml:space="preserve">Elimina el JavaScript del cliente</t>
  </si>
  <si>
    <t xml:space="preserve">Solo sirve para apps sin datos</t>
  </si>
  <si>
    <t xml:space="preserve">Sustituye al lazy loading</t>
  </si>
  <si>
    <t xml:space="preserve">Hay que cuidar el código que usa `window` o `localStorage`, que no existen en el servidor.</t>
  </si>
  <si>
    <t xml:space="preserve">ang-cd-S4</t>
  </si>
  <si>
    <t xml:space="preserve">El profiler muestra que cada tecla en un buscador re-renderiza 2.000 filas. ¿Qué aplicas?</t>
  </si>
  <si>
    <t xml:space="preserve">Filas con OnPush/signals, `track` por id, virtual scroll y debounce en el buscador</t>
  </si>
  <si>
    <t xml:space="preserve">Más `detectChanges()` en cada fila</t>
  </si>
  <si>
    <t xml:space="preserve">Pasar la lista a un `effect`</t>
  </si>
  <si>
    <t xml:space="preserve">Cargar las filas con `@defer`</t>
  </si>
  <si>
    <t xml:space="preserve">Hay que atacar las tres causas: cuántas filas se pintan, cuántas se revisan y cada cuánto.</t>
  </si>
  <si>
    <t xml:space="preserve">ang-forms-J1</t>
  </si>
  <si>
    <t xml:space="preserve">Si el usuario escribe `hola`, ¿qué vale `form.valid`?</t>
  </si>
  <si>
    <t xml:space="preserve">form = new FormGroup({
  email: new FormControl('', [Validators.required, Validators.email]),
});</t>
  </si>
  <si>
    <t xml:space="preserve">false</t>
  </si>
  <si>
    <t xml:space="preserve">true</t>
  </si>
  <si>
    <t xml:space="preserve">null</t>
  </si>
  <si>
    <t xml:space="preserve">'hola'</t>
  </si>
  <si>
    <t xml:space="preserve">`Validators.email` falla con `hola`, así que el control y el grupo son inválidos.</t>
  </si>
  <si>
    <t xml:space="preserve">ang-forms-J2</t>
  </si>
  <si>
    <t xml:space="preserve">Formularios reactivos frente a template-driven: ¿qué es cierto?</t>
  </si>
  <si>
    <t xml:space="preserve">Los reactivos definen el modelo en TypeScript y son más fáciles de testear y validar dinámicamente</t>
  </si>
  <si>
    <t xml:space="preserve">Los template-driven escalan mejor en formularios grandes</t>
  </si>
  <si>
    <t xml:space="preserve">Los reactivos no permiten validadores propios</t>
  </si>
  <si>
    <t xml:space="preserve">Son lo mismo con otra sintaxis</t>
  </si>
  <si>
    <t xml:space="preserve">En los reactivos el formulario vive en el componente: control total, tipado y tests sin depender del DOM.</t>
  </si>
  <si>
    <t xml:space="preserve">ang-forms-J3</t>
  </si>
  <si>
    <t xml:space="preserve">Con `&lt;form [formGroup]="form"&gt;`, cada input se enlaza con `___="email"`.</t>
  </si>
  <si>
    <t xml:space="preserve">formControlName</t>
  </si>
  <si>
    <t xml:space="preserve">ngModel</t>
  </si>
  <si>
    <t xml:space="preserve">formGroupName</t>
  </si>
  <si>
    <t xml:space="preserve">name</t>
  </si>
  <si>
    <t xml:space="preserve">`formControlName` busca el control por nombre dentro del FormGroup del padre.</t>
  </si>
  <si>
    <t xml:space="preserve">ang-forms-J4</t>
  </si>
  <si>
    <t xml:space="preserve">¿Qué indica que un control esté `touched`?</t>
  </si>
  <si>
    <t xml:space="preserve">Que el usuario ha entrado y salido del campo (blur)</t>
  </si>
  <si>
    <t xml:space="preserve">Que el valor ha cambiado</t>
  </si>
  <si>
    <t xml:space="preserve">Que es válido</t>
  </si>
  <si>
    <t xml:space="preserve">Que está deshabilitado</t>
  </si>
  <si>
    <t xml:space="preserve">Que haya cambiado el valor es `dirty`. Lo típico es mostrar errores cuando el campo es inválido y está touched.</t>
  </si>
  <si>
    <t xml:space="preserve">ang-forms-M1</t>
  </si>
  <si>
    <t xml:space="preserve">¿Qué vale `form.value` tras `reset()`?</t>
  </si>
  <si>
    <t xml:space="preserve">const fb = inject(NonNullableFormBuilder);
form = fb.group({ name: '', age: 0 });
form.reset();</t>
  </si>
  <si>
    <t xml:space="preserve">`{ name: '', age: 0 }`: con controles non-nullable, reset vuelve al valor inicial</t>
  </si>
  <si>
    <t xml:space="preserve">`{ name: null, age: null }`</t>
  </si>
  <si>
    <t xml:space="preserve">`{}`</t>
  </si>
  <si>
    <t xml:space="preserve">Lanza un error</t>
  </si>
  <si>
    <t xml:space="preserve">Sin non-nullable, reset pondría null. Los formularios tipados reflejan eso en los tipos.</t>
  </si>
  <si>
    <t xml:space="preserve">ang-forms-M2</t>
  </si>
  <si>
    <t xml:space="preserve">¿Qué debe devolver este validador si el valor es correcto?</t>
  </si>
  <si>
    <t xml:space="preserve">export const noSpaces: ValidatorFn = (control) =&gt;
  /\s/.test(control.value) ? { noSpaces: true } : null;</t>
  </si>
  <si>
    <t xml:space="preserve">`{ valid: true }`</t>
  </si>
  <si>
    <t xml:space="preserve">Una cadena vacía</t>
  </si>
  <si>
    <t xml:space="preserve">Un validador devuelve null si todo va bien, o un objeto con los errores si no.</t>
  </si>
  <si>
    <t xml:space="preserve">ang-forms-M3</t>
  </si>
  <si>
    <t xml:space="preserve">Lista de teléfonos que el usuario puede añadir y quitar. ¿Qué usas?</t>
  </si>
  <si>
    <t xml:space="preserve">FormArray</t>
  </si>
  <si>
    <t xml:space="preserve">FormGroup con claves numéricas</t>
  </si>
  <si>
    <t xml:space="preserve">Un array en una signal fuera del formulario</t>
  </si>
  <si>
    <t xml:space="preserve">Un FormControl con un string separado por comas</t>
  </si>
  <si>
    <t xml:space="preserve">FormArray gestiona una lista dinámica de controles con `push()` y `removeAt()`.</t>
  </si>
  <si>
    <t xml:space="preserve">ang-forms-M4</t>
  </si>
  <si>
    <t xml:space="preserve">Comprobar en el servidor si un nombre de usuario ya existe se hace con…</t>
  </si>
  <si>
    <t xml:space="preserve">Un validador asíncrono (AsyncValidatorFn) que devuelve un Observable o una Promise</t>
  </si>
  <si>
    <t xml:space="preserve">Un validador síncrono con fetch</t>
  </si>
  <si>
    <t xml:space="preserve">Un effect en el componente</t>
  </si>
  <si>
    <t xml:space="preserve">Un interceptor HTTP</t>
  </si>
  <si>
    <t xml:space="preserve">Mientras se valida, el control queda en estado `PENDING`. Conviene añadir debounce para no llamar en cada tecla.</t>
  </si>
  <si>
    <t xml:space="preserve">ang-forms-S1</t>
  </si>
  <si>
    <t xml:space="preserve">Quieres que tu componente `&lt;app-rating&gt;` funcione con `formControlName`. ¿Qué implementas?</t>
  </si>
  <si>
    <t xml:space="preserve">ControlValueAccessor (writeValue, registerOnChange, registerOnTouched) registrado con NG_VALUE_ACCESSOR</t>
  </si>
  <si>
    <t xml:space="preserve">Un @Input llamado formControlName</t>
  </si>
  <si>
    <t xml:space="preserve">Un FormGroup interno</t>
  </si>
  <si>
    <t xml:space="preserve">Un validador personalizado</t>
  </si>
  <si>
    <t xml:space="preserve">Así tu componente se comporta como un input nativo para los formularios de Angular.</t>
  </si>
  <si>
    <t xml:space="preserve">ang-forms-S2</t>
  </si>
  <si>
    <t xml:space="preserve">¿Dónde aparece el error de `passwordsMatch`?</t>
  </si>
  <si>
    <t xml:space="preserve">form = fb.group(
  { password: '', confirm: '' },
  { validators: passwordsMatch }
);</t>
  </si>
  <si>
    <t xml:space="preserve">En `form.errors` (el grupo), no en los controles individuales</t>
  </si>
  <si>
    <t xml:space="preserve">En `password.errors`</t>
  </si>
  <si>
    <t xml:space="preserve">En `confirm.errors`</t>
  </si>
  <si>
    <t xml:space="preserve">En ninguno: los validadores de grupo no existen</t>
  </si>
  <si>
    <t xml:space="preserve">Los validadores entre campos van en el grupo. Si quieres marcar un campo concreto, puedes hacerlo desde el propio validador.</t>
  </si>
  <si>
    <t xml:space="preserve">ang-forms-S3</t>
  </si>
  <si>
    <t xml:space="preserve">Un formulario lanza validaciones costosas en cada tecla. ¿Qué opción ayuda?</t>
  </si>
  <si>
    <t xml:space="preserve">`updateOn: 'blur'` (o `'submit'`) en el control o el grupo</t>
  </si>
  <si>
    <t xml:space="preserve">Quitar los validadores</t>
  </si>
  <si>
    <t xml:space="preserve">`changeDetection: OnPush`</t>
  </si>
  <si>
    <t xml:space="preserve">Llamar a `markAsPristine()` en cada tecla</t>
  </si>
  <si>
    <t xml:space="preserve">Con `updateOn` el valor y la validación se actualizan al salir del campo o al enviar.</t>
  </si>
  <si>
    <t xml:space="preserve">ang-forms-S4</t>
  </si>
  <si>
    <t xml:space="preserve">¿Cómo organizarías un formulario muy grande con secciones reutilizables?</t>
  </si>
  <si>
    <t xml:space="preserve">Subformularios por sección (componentes con ControlValueAccessor o que reciben su FormGroup), tipado estricto y validadores reutilizables</t>
  </si>
  <si>
    <t xml:space="preserve">Un único componente con todos los campos</t>
  </si>
  <si>
    <t xml:space="preserve">Un formulario template-driven por campo</t>
  </si>
  <si>
    <t xml:space="preserve">Guardar cada campo en localStorage</t>
  </si>
  <si>
    <t xml:space="preserve">Dividir por secciones permite reutilizar, testear y mantener cada parte por separado.</t>
  </si>
  <si>
    <t xml:space="preserve">ang-routing-J1</t>
  </si>
  <si>
    <t xml:space="preserve">En la plantilla, la ruta activa se pinta dentro de `___`.</t>
  </si>
  <si>
    <t xml:space="preserve">&lt;router-outlet&gt;</t>
  </si>
  <si>
    <t xml:space="preserve">&lt;ng-content&gt;</t>
  </si>
  <si>
    <t xml:space="preserve">&lt;router-view&gt;</t>
  </si>
  <si>
    <t xml:space="preserve">&lt;app-root&gt;</t>
  </si>
  <si>
    <t xml:space="preserve">`routerLink` navega y `router-outlet` es el hueco donde se pinta la ruta activa.</t>
  </si>
  <si>
    <t xml:space="preserve">ang-routing-J2</t>
  </si>
  <si>
    <t xml:space="preserve">¿Por qué `routerLink` y no `href`?</t>
  </si>
  <si>
    <t xml:space="preserve">Navega sin recargar la página y mantiene el estado de la app</t>
  </si>
  <si>
    <t xml:space="preserve">Porque href no funciona en Angular</t>
  </si>
  <si>
    <t xml:space="preserve">Para que funcione el SEO</t>
  </si>
  <si>
    <t xml:space="preserve">Un `href` normal recargaría toda la aplicación.</t>
  </si>
  <si>
    <t xml:space="preserve">ang-routing-J3</t>
  </si>
  <si>
    <t xml:space="preserve">El usuario va a `/users/42/edit`. ¿Qué se muestra?</t>
  </si>
  <si>
    <t xml:space="preserve">export const routes: Routes = [
  { path: '', component: Home },
  { path: 'users/:id', component: UserDetail },
  { path: '**', component: NotFound },
];</t>
  </si>
  <si>
    <t xml:space="preserve">NotFound: ninguna ruta encaja y se aplica el comodín</t>
  </si>
  <si>
    <t xml:space="preserve">UserDetail con id 42</t>
  </si>
  <si>
    <t xml:space="preserve">Home</t>
  </si>
  <si>
    <t xml:space="preserve">`users/:id` no tiene rutas hijas, así que no consume `/edit`. El comodín `**` recoge todo lo que no encaja.</t>
  </si>
  <si>
    <t xml:space="preserve">ang-routing-J4</t>
  </si>
  <si>
    <t xml:space="preserve">¿Cómo lees el parámetro `id` de `/users/:id`?</t>
  </si>
  <si>
    <t xml:space="preserve">Con ActivatedRoute (paramMap) o como input del componente si está activado `withComponentInputBinding`</t>
  </si>
  <si>
    <t xml:space="preserve">Con `window.location.id`</t>
  </si>
  <si>
    <t xml:space="preserve">Con localStorage</t>
  </si>
  <si>
    <t xml:space="preserve">Con un output</t>
  </si>
  <si>
    <t xml:space="preserve">Con `withComponentInputBinding()` el parámetro llega directamente como input.</t>
  </si>
  <si>
    <t xml:space="preserve">ang-routing-M1</t>
  </si>
  <si>
    <t xml:space="preserve">¿Cómo haces lazy loading de un componente standalone?</t>
  </si>
  <si>
    <t xml:space="preserve">`loadComponent: () =&gt; import('./admin').then(m =&gt; m.Admin)`</t>
  </si>
  <si>
    <t xml:space="preserve">`component: Admin, lazy: true`</t>
  </si>
  <si>
    <t xml:space="preserve">Importándolo arriba en app.routes.ts</t>
  </si>
  <si>
    <t xml:space="preserve">`children: [Admin]`</t>
  </si>
  <si>
    <t xml:space="preserve">El `import()` dinámico genera un chunk aparte que solo se descarga al entrar en la ruta.</t>
  </si>
  <si>
    <t xml:space="preserve">ang-routing-M2</t>
  </si>
  <si>
    <t xml:space="preserve">¿Qué ocurre si no hay sesión?</t>
  </si>
  <si>
    <t xml:space="preserve">export const authGuard: CanActivateFn = () =&gt; {
  const auth = inject(AuthService);
  const router = inject(Router);
  return auth.isLoggedIn() ? true : router.createUrlTree(['/login']);
};</t>
  </si>
  <si>
    <t xml:space="preserve">La navegación se cancela y redirige a /login</t>
  </si>
  <si>
    <t xml:space="preserve">Se muestra la ruta en blanco</t>
  </si>
  <si>
    <t xml:space="preserve">Se lanza un error</t>
  </si>
  <si>
    <t xml:space="preserve">Se entra igualmente</t>
  </si>
  <si>
    <t xml:space="preserve">Devolver un UrlTree es la forma recomendada de redirigir desde un guard.</t>
  </si>
  <si>
    <t xml:space="preserve">ang-routing-M3</t>
  </si>
  <si>
    <t xml:space="preserve">¿Para qué sirve un `ResolveFn` en una ruta?</t>
  </si>
  <si>
    <t xml:space="preserve">Cargar datos antes de activar la ruta, para que el componente los reciba listos</t>
  </si>
  <si>
    <t xml:space="preserve">Resolver conflictos entre rutas</t>
  </si>
  <si>
    <t xml:space="preserve">Traducir la URL</t>
  </si>
  <si>
    <t xml:space="preserve">Validar formularios</t>
  </si>
  <si>
    <t xml:space="preserve">Útil cuando la pantalla no tiene sentido sin esos datos. Para cargas largas, mejor mostrar un estado de carga en el componente.</t>
  </si>
  <si>
    <t xml:space="preserve">ang-routing-M4</t>
  </si>
  <si>
    <t xml:space="preserve">¿De dónde sale el valor de `id`?</t>
  </si>
  <si>
    <t xml:space="preserve">// provideRouter(routes, withComponentInputBinding())
// ruta: { path: 'users/:id', component: UserDetail }
export class UserDetail {
  id = input.required&lt;string&gt;();
}</t>
  </si>
  <si>
    <t xml:space="preserve">Del parámetro `:id` de la URL, que el router pasa como input</t>
  </si>
  <si>
    <t xml:space="preserve">Del padre en la plantilla</t>
  </si>
  <si>
    <t xml:space="preserve">De localStorage</t>
  </si>
  <si>
    <t xml:space="preserve">De un servicio global</t>
  </si>
  <si>
    <t xml:space="preserve">`withComponentInputBinding()` pasa parámetros, query params y datos del resolver como inputs.</t>
  </si>
  <si>
    <t xml:space="preserve">ang-routing-S1</t>
  </si>
  <si>
    <t xml:space="preserve">¿Qué se consigue con `loadChildren` aquí?</t>
  </si>
  <si>
    <t xml:space="preserve">{
  path: 'admin',
  canActivate: [adminGuard],
  loadChildren: () =&gt; import('./admin/admin.routes'),
}</t>
  </si>
  <si>
    <t xml:space="preserve">Todas las rutas de admin van en un chunk que solo se descarga al entrar, y el guard protege el grupo entero</t>
  </si>
  <si>
    <t xml:space="preserve">Que admin se cargue al arrancar</t>
  </si>
  <si>
    <t xml:space="preserve">Que las rutas hijas no necesiten componente</t>
  </si>
  <si>
    <t xml:space="preserve">Nada distinto a loadComponent</t>
  </si>
  <si>
    <t xml:space="preserve">Con un `export default` en `admin.routes.ts` no hace falta el `.then()`.</t>
  </si>
  <si>
    <t xml:space="preserve">ang-routing-S2</t>
  </si>
  <si>
    <t xml:space="preserve">¿Diferencia entre `canMatch` y `canActivate`?</t>
  </si>
  <si>
    <t xml:space="preserve">canMatch decide si la ruta se tiene en cuenta (si falla, prueba otras sin descargar el chunk); canActivate decide si se entra en la ruta ya elegida</t>
  </si>
  <si>
    <t xml:space="preserve">canMatch solo funciona con rutas hijas</t>
  </si>
  <si>
    <t xml:space="preserve">canActivate no puede redirigir</t>
  </si>
  <si>
    <t xml:space="preserve">canMatch sirve, por ejemplo, para servir rutas distintas según el rol con la misma URL.</t>
  </si>
  <si>
    <t xml:space="preserve">ang-routing-S3</t>
  </si>
  <si>
    <t xml:space="preserve">¿Qué estrategia carga los módulos lazy en segundo plano tras el arranque?</t>
  </si>
  <si>
    <t xml:space="preserve">PreloadAllModules (o una estrategia propia)</t>
  </si>
  <si>
    <t xml:space="preserve">NoPreloading</t>
  </si>
  <si>
    <t xml:space="preserve">EagerLoading</t>
  </si>
  <si>
    <t xml:space="preserve">Server preloading</t>
  </si>
  <si>
    <t xml:space="preserve">Una estrategia propia permite precargar solo las rutas que más se visitan.</t>
  </si>
  <si>
    <t xml:space="preserve">ang-routing-S4</t>
  </si>
  <si>
    <t xml:space="preserve">Al volver atrás en una lista larga quieres recuperar el scroll. ¿Qué usas?</t>
  </si>
  <si>
    <t xml:space="preserve">`withInMemoryScrolling({ scrollPositionRestoration: 'enabled' })`</t>
  </si>
  <si>
    <t xml:space="preserve">Guardar el scroll en una cookie</t>
  </si>
  <si>
    <t xml:space="preserve">`location.reload()`</t>
  </si>
  <si>
    <t xml:space="preserve">No se puede en Angular</t>
  </si>
  <si>
    <t xml:space="preserve">Se configura en `provideRouter`.</t>
  </si>
  <si>
    <t xml:space="preserve">ang-di-http-J1</t>
  </si>
  <si>
    <t xml:space="preserve">¿Qué hace `providedIn: 'root'`?</t>
  </si>
  <si>
    <t xml:space="preserve">Crea una única instancia compartida en toda la app y permite tree-shaking</t>
  </si>
  <si>
    <t xml:space="preserve">Crea una instancia por componente</t>
  </si>
  <si>
    <t xml:space="preserve">Solo funciona en el componente raíz</t>
  </si>
  <si>
    <t xml:space="preserve">Obliga a declararlo en cada módulo</t>
  </si>
  <si>
    <t xml:space="preserve">Si nadie lo inyecta, el build lo elimina.</t>
  </si>
  <si>
    <t xml:space="preserve">ang-di-http-J2</t>
  </si>
  <si>
    <t xml:space="preserve">¿Ventaja de `inject(UserService)` frente a `new UserService()`?</t>
  </si>
  <si>
    <t xml:space="preserve">Angular gestiona la instancia (compartida) y en los tests se puede sustituir por un doble</t>
  </si>
  <si>
    <t xml:space="preserve">Permite usar async/await</t>
  </si>
  <si>
    <t xml:space="preserve">Ninguna</t>
  </si>
  <si>
    <t xml:space="preserve">Es la idea de la inyección de dependencias: la clase no crea lo que necesita, lo recibe.</t>
  </si>
  <si>
    <t xml:space="preserve">ang-di-http-J3</t>
  </si>
  <si>
    <t xml:space="preserve">Si nadie se suscribe, ¿se hace la petición?</t>
  </si>
  <si>
    <t xml:space="preserve">loadUsers() {
  this.http.get&lt;User[]&gt;('/api/users');
}</t>
  </si>
  <si>
    <t xml:space="preserve">No: las peticiones de HttpClient se lanzan al suscribirse</t>
  </si>
  <si>
    <t xml:space="preserve">Sí, al crear el observable</t>
  </si>
  <si>
    <t xml:space="preserve">Sí, pero la respuesta se pierde</t>
  </si>
  <si>
    <t xml:space="preserve">Solo en producción</t>
  </si>
  <si>
    <t xml:space="preserve">Son observables fríos. Por eso hace falta `subscribe`, el pipe async o `toSignal`.</t>
  </si>
  <si>
    <t xml:space="preserve">ang-di-http-J4</t>
  </si>
  <si>
    <t xml:space="preserve">Para usar HttpClient en una app standalone se añade `___()` en los providers de app.config.ts.</t>
  </si>
  <si>
    <t xml:space="preserve">provideHttpClient</t>
  </si>
  <si>
    <t xml:space="preserve">importHttpClient</t>
  </si>
  <si>
    <t xml:space="preserve">provideHttp</t>
  </si>
  <si>
    <t xml:space="preserve">HttpClientModule.forRoot</t>
  </si>
  <si>
    <t xml:space="preserve">Con `withInterceptors([...])` dentro registras interceptores funcionales.</t>
  </si>
  <si>
    <t xml:space="preserve">ang-di-http-M1</t>
  </si>
  <si>
    <t xml:space="preserve">¿Cómo añades una cabecera en un interceptor?</t>
  </si>
  <si>
    <t xml:space="preserve">`next(req.clone({ setHeaders: { Authorization: `Bearer ${token}` } }))`</t>
  </si>
  <si>
    <t xml:space="preserve">`req.headers.set(...)` y devolver req</t>
  </si>
  <si>
    <t xml:space="preserve">Modificar window.fetch</t>
  </si>
  <si>
    <t xml:space="preserve">Añadirla en cada servicio</t>
  </si>
  <si>
    <t xml:space="preserve">HttpRequest es inmutable: hay que clonarla.</t>
  </si>
  <si>
    <t xml:space="preserve">ang-di-http-M2</t>
  </si>
  <si>
    <t xml:space="preserve">¿Cómo registras un interceptor funcional?</t>
  </si>
  <si>
    <t xml:space="preserve">`provideHttpClient(withInterceptors([authInterceptor]))`</t>
  </si>
  <si>
    <t xml:space="preserve">`HttpClientModule.forRoot(authInterceptor)`</t>
  </si>
  <si>
    <t xml:space="preserve">`@Interceptor()` en una clase</t>
  </si>
  <si>
    <t xml:space="preserve">`bootstrapApplication(App, authInterceptor)`</t>
  </si>
  <si>
    <t xml:space="preserve">Los interceptores de clase siguen existiendo (`withInterceptorsFromDi`), pero lo moderno es el funcional.</t>
  </si>
  <si>
    <t xml:space="preserve">ang-di-http-M3</t>
  </si>
  <si>
    <t xml:space="preserve">Si el servidor falla siempre, ¿cuántas peticiones se hacen?</t>
  </si>
  <si>
    <t xml:space="preserve">this.http.get&lt;Item[]&gt;('/api/items').pipe(
  retry(2),
  catchError(() =&gt; {
    this.toast.error('No se pudo cargar');
    return of([]);
  })
);</t>
  </si>
  <si>
    <t xml:space="preserve">3: la original y 2 reintentos</t>
  </si>
  <si>
    <t xml:space="preserve">2</t>
  </si>
  <si>
    <t xml:space="preserve">1</t>
  </si>
  <si>
    <t xml:space="preserve">Infinitas</t>
  </si>
  <si>
    <t xml:space="preserve">`retry(2)` reintenta dos veces antes de dejar pasar el error a `catchError`.</t>
  </si>
  <si>
    <t xml:space="preserve">ang-di-http-M4</t>
  </si>
  <si>
    <t xml:space="preserve">Fuera del constructor, `inject()` solo se puede llamar dentro de un ___ de inyección.</t>
  </si>
  <si>
    <t xml:space="preserve">contexto</t>
  </si>
  <si>
    <t xml:space="preserve">módulo</t>
  </si>
  <si>
    <t xml:space="preserve">zone</t>
  </si>
  <si>
    <t xml:space="preserve">pipe</t>
  </si>
  <si>
    <t xml:space="preserve">Contexto de inyección: constructor, inicializadores de propiedades, factories, guards e interceptores funcionales.</t>
  </si>
  <si>
    <t xml:space="preserve">ang-di-http-S1</t>
  </si>
  <si>
    <t xml:space="preserve">¿Qué implica este `providers`?</t>
  </si>
  <si>
    <t xml:space="preserve">@Component({
  selector: 'app-editor',
  providers: [EditorStore],
  templateUrl: './editor.html',
})
export class Editor {
  store = inject(EditorStore);
}</t>
  </si>
  <si>
    <t xml:space="preserve">Cada instancia de app-editor (y sus hijos) tiene su propia EditorStore</t>
  </si>
  <si>
    <t xml:space="preserve">EditorStore es global</t>
  </si>
  <si>
    <t xml:space="preserve">EditorStore solo existe en tests</t>
  </si>
  <si>
    <t xml:space="preserve">Error: los componentes no admiten providers</t>
  </si>
  <si>
    <t xml:space="preserve">Proveer en un componente crea una instancia por cada uso del componente, útil para estado local de una pantalla.</t>
  </si>
  <si>
    <t xml:space="preserve">ang-di-http-S2</t>
  </si>
  <si>
    <t xml:space="preserve">¿Para qué sirve un `InjectionToken`?</t>
  </si>
  <si>
    <t xml:space="preserve">Para inyectar valores que no son clases, como configuración o funciones</t>
  </si>
  <si>
    <t xml:space="preserve">Para cifrar JWT</t>
  </si>
  <si>
    <t xml:space="preserve">Para crear rutas</t>
  </si>
  <si>
    <t xml:space="preserve">Para sustituir a los guards</t>
  </si>
  <si>
    <t xml:space="preserve">Ejemplo: `API_URL = new InjectionToken&lt;string&gt;('API_URL')` con un valor distinto por entorno.</t>
  </si>
  <si>
    <t xml:space="preserve">ang-di-http-S3</t>
  </si>
  <si>
    <t xml:space="preserve">Quieres que un interceptor se salte ciertas peticiones (p. ej. no mostrar spinner). ¿Qué usas?</t>
  </si>
  <si>
    <t xml:space="preserve">`HttpContext` con un `HttpContextToken` que el interceptor lee</t>
  </si>
  <si>
    <t xml:space="preserve">Una cabecera inventada que llega al servidor</t>
  </si>
  <si>
    <t xml:space="preserve">Dos HttpClient distintos</t>
  </si>
  <si>
    <t xml:space="preserve">El contexto viaja con la petición pero no se envía al servidor.</t>
  </si>
  <si>
    <t xml:space="preserve">ang-di-http-S4</t>
  </si>
  <si>
    <t xml:space="preserve">¿Qué jerarquías de inyectores hay en Angular?</t>
  </si>
  <si>
    <t xml:space="preserve">Environment injectors (raíz, rutas lazy) y element injectors (componentes y directivas)</t>
  </si>
  <si>
    <t xml:space="preserve">Solo uno global</t>
  </si>
  <si>
    <t xml:space="preserve">Uno por petición HTTP</t>
  </si>
  <si>
    <t xml:space="preserve">Solo existen en tests</t>
  </si>
  <si>
    <t xml:space="preserve">Un servicio provisto en una ruta lazy tiene su propia instancia para esa parte de la app.</t>
  </si>
  <si>
    <t xml:space="preserve">ang-testing-J1</t>
  </si>
  <si>
    <t xml:space="preserve">El test falla. ¿Por qué?</t>
  </si>
  <si>
    <t xml:space="preserve">it('muestra el título', () =&gt; {
  const fixture = TestBed.createComponent(Header);
  fixture.componentInstance.title = 'Hola';
  expect(fixture.nativeElement.textContent).toContain('Hola');
});</t>
  </si>
  <si>
    <t xml:space="preserve">Falta `fixture.detectChanges()` antes del expect, así que la plantilla no se ha pintado</t>
  </si>
  <si>
    <t xml:space="preserve">Falta un `async`</t>
  </si>
  <si>
    <t xml:space="preserve">`textContent` no existe</t>
  </si>
  <si>
    <t xml:space="preserve">TestBed no puede crear componentes</t>
  </si>
  <si>
    <t xml:space="preserve">En los tests no hay detección de cambios automática.</t>
  </si>
  <si>
    <t xml:space="preserve">ang-testing-J2</t>
  </si>
  <si>
    <t xml:space="preserve">¿Qué es un test unitario?</t>
  </si>
  <si>
    <t xml:space="preserve">Un test que comprueba una pieza aislada sin dependencias reales</t>
  </si>
  <si>
    <t xml:space="preserve">Un test que abre la app en un navegador real</t>
  </si>
  <si>
    <t xml:space="preserve">Una prueba manual</t>
  </si>
  <si>
    <t xml:space="preserve">Un test de carga</t>
  </si>
  <si>
    <t xml:space="preserve">Los E2E prueban la app completa como un usuario; los unitarios, una pieza aislada.</t>
  </si>
  <si>
    <t xml:space="preserve">ang-testing-J3</t>
  </si>
  <si>
    <t xml:space="preserve">Para sustituir un servicio por uno falso: `{ provide: UserService, ___: fakeService }`.</t>
  </si>
  <si>
    <t xml:space="preserve">useValue</t>
  </si>
  <si>
    <t xml:space="preserve">useReal</t>
  </si>
  <si>
    <t xml:space="preserve">inject</t>
  </si>
  <si>
    <t xml:space="preserve">mock</t>
  </si>
  <si>
    <t xml:space="preserve">También existen `useClass` y `useFactory`.</t>
  </si>
  <si>
    <t xml:space="preserve">ang-testing-J4</t>
  </si>
  <si>
    <t xml:space="preserve">¿Qué conviene comprobar en un test de componente?</t>
  </si>
  <si>
    <t xml:space="preserve">Lo que ve y hace el usuario (texto, botones, eventos), no los detalles internos</t>
  </si>
  <si>
    <t xml:space="preserve">Que se llamen todos los métodos privados</t>
  </si>
  <si>
    <t xml:space="preserve">El número de líneas</t>
  </si>
  <si>
    <t xml:space="preserve">Los estilos CSS exactos</t>
  </si>
  <si>
    <t xml:space="preserve">Los tests centrados en el comportamiento sobreviven a los refactors.</t>
  </si>
  <si>
    <t xml:space="preserve">ang-testing-M1</t>
  </si>
  <si>
    <t xml:space="preserve">¿Qué hace `req.flush()`?</t>
  </si>
  <si>
    <t xml:space="preserve">service.getUsers().subscribe(u =&gt; (users = u));
const req = httpMock.expectOne('/api/users');
req.flush([{ id: 1, name: 'Ana' }]);
expect(users.length).toBe(1);</t>
  </si>
  <si>
    <t xml:space="preserve">Responde a la petición simulada con esos datos y el subscribe los recibe</t>
  </si>
  <si>
    <t xml:space="preserve">Borra la petición</t>
  </si>
  <si>
    <t xml:space="preserve">Hace la petición real</t>
  </si>
  <si>
    <t xml:space="preserve">Limpia la caché</t>
  </si>
  <si>
    <t xml:space="preserve">`expectOne` comprueba que se pidió esa URL y `verify()` que no quedan peticiones sin responder.</t>
  </si>
  <si>
    <t xml:space="preserve">ang-testing-M2</t>
  </si>
  <si>
    <t xml:space="preserve">¿Para qué sirven `fakeAsync` y `tick()`?</t>
  </si>
  <si>
    <t xml:space="preserve">Para simular el paso del tiempo (timers, debounceTime) de forma síncrona</t>
  </si>
  <si>
    <t xml:space="preserve">Para ejecutar tests en paralelo</t>
  </si>
  <si>
    <t xml:space="preserve">Para medir la red</t>
  </si>
  <si>
    <t xml:space="preserve">Para saltarse tests</t>
  </si>
  <si>
    <t xml:space="preserve">`tick(300)` adelanta el reloj virtual 300 ms.</t>
  </si>
  <si>
    <t xml:space="preserve">ang-testing-M3</t>
  </si>
  <si>
    <t xml:space="preserve">¿Cómo pruebas el estado de error de un componente que usa UserService?</t>
  </si>
  <si>
    <t xml:space="preserve">Haciendo que el servicio falso devuelva `throwError(() =&gt; ...)` y comprobando que aparece el mensaje</t>
  </si>
  <si>
    <t xml:space="preserve">Apagando el servidor</t>
  </si>
  <si>
    <t xml:space="preserve">Con un try/catch en el test</t>
  </si>
  <si>
    <t xml:space="preserve">No se puede testear</t>
  </si>
  <si>
    <t xml:space="preserve">Igual que el caso feliz, pero el doble devuelve un error.</t>
  </si>
  <si>
    <t xml:space="preserve">ang-testing-M4</t>
  </si>
  <si>
    <t xml:space="preserve">¿Cómo testeas un servicio que usa HttpClient sin backend?</t>
  </si>
  <si>
    <t xml:space="preserve">`provideHttpClient()` + `provideHttpClientTesting()` y HttpTestingController</t>
  </si>
  <si>
    <t xml:space="preserve">Una API real de pruebas</t>
  </si>
  <si>
    <t xml:space="preserve">Mockeando window.fetch</t>
  </si>
  <si>
    <t xml:space="preserve">RouterTestingModule</t>
  </si>
  <si>
    <t xml:space="preserve">Así controlas cada respuesta desde el test.</t>
  </si>
  <si>
    <t xml:space="preserve">ang-testing-S1</t>
  </si>
  <si>
    <t xml:space="preserve">¿Cómo cambias un input basado en signal dentro de un test?</t>
  </si>
  <si>
    <t xml:space="preserve">`fixture.componentRef.setInput('name', 'Ana')` y después detectChanges o whenStable</t>
  </si>
  <si>
    <t xml:space="preserve">`fixture.componentInstance.name = 'Ana'`</t>
  </si>
  <si>
    <t xml:space="preserve">`name.set('Ana')`</t>
  </si>
  <si>
    <t xml:space="preserve">No se pueden testear</t>
  </si>
  <si>
    <t xml:space="preserve">Los `input()` son de solo lectura desde fuera; `setInput` pasa por Angular como lo haría el padre.</t>
  </si>
  <si>
    <t xml:space="preserve">ang-testing-S2</t>
  </si>
  <si>
    <t xml:space="preserve">¿Qué describe la pirámide de tests?</t>
  </si>
  <si>
    <t xml:space="preserve">Muchos unitarios, menos de integración y pocos E2E, por coste y velocidad</t>
  </si>
  <si>
    <t xml:space="preserve">Muchos E2E y pocos unitarios</t>
  </si>
  <si>
    <t xml:space="preserve">Solo tests manuales</t>
  </si>
  <si>
    <t xml:space="preserve">Un test por archivo</t>
  </si>
  <si>
    <t xml:space="preserve">Los E2E son caros y lentos; se reservan para los flujos críticos.</t>
  </si>
  <si>
    <t xml:space="preserve">ang-testing-S3</t>
  </si>
  <si>
    <t xml:space="preserve">Un test E2E falla a veces sin cambios en el código. ¿Qué haces?</t>
  </si>
  <si>
    <t xml:space="preserve">Investigar la causa (esperas fijas, datos compartidos, dependencias externas) y corregirla; aislarlo mientras tanto</t>
  </si>
  <si>
    <t xml:space="preserve">Añadir reintentos infinitos</t>
  </si>
  <si>
    <t xml:space="preserve">Borrarlo</t>
  </si>
  <si>
    <t xml:space="preserve">Ignorar el pipeline</t>
  </si>
  <si>
    <t xml:space="preserve">Los tests inestables destruyen la confianza en la suite. Hay que esperar a condiciones, no a tiempos fijos.</t>
  </si>
  <si>
    <t xml:space="preserve">ang-testing-S4</t>
  </si>
  <si>
    <t xml:space="preserve">¿Qué es cierto sobre la cobertura de código?</t>
  </si>
  <si>
    <t xml:space="preserve">Es una señal útil, pero un 90% no garantiza que se compruebe nada importante</t>
  </si>
  <si>
    <t xml:space="preserve">100% significa cero bugs</t>
  </si>
  <si>
    <t xml:space="preserve">No sirve para nada</t>
  </si>
  <si>
    <t xml:space="preserve">Solo se mide en E2E</t>
  </si>
  <si>
    <t xml:space="preserve">Mejor mínimos razonables y revisar qué se prueba, no solo cuánto.</t>
  </si>
  <si>
    <t xml:space="preserve">ang-upgrade-i18n-J1</t>
  </si>
  <si>
    <t xml:space="preserve">¿Qué comando actualiza Angular?</t>
  </si>
  <si>
    <t xml:space="preserve">`ng update @angular/core @angular/cli`</t>
  </si>
  <si>
    <t xml:space="preserve">`npm update angular`</t>
  </si>
  <si>
    <t xml:space="preserve">`ng upgrade`</t>
  </si>
  <si>
    <t xml:space="preserve">`ng install latest`</t>
  </si>
  <si>
    <t xml:space="preserve">`ng update` actualiza dependencias y ejecuta migraciones automáticas.</t>
  </si>
  <si>
    <t xml:space="preserve">ang-upgrade-i18n-J2</t>
  </si>
  <si>
    <t xml:space="preserve">¿Cuál es la referencia oficial para saber qué cambiar al subir de versión?</t>
  </si>
  <si>
    <t xml:space="preserve">La guía de actualización de angular.dev (Update Guide)</t>
  </si>
  <si>
    <t xml:space="preserve">El changelog de npm</t>
  </si>
  <si>
    <t xml:space="preserve">Stack Overflow</t>
  </si>
  <si>
    <t xml:space="preserve">No existe</t>
  </si>
  <si>
    <t xml:space="preserve">Indicas versión de origen y destino y te da los pasos.</t>
  </si>
  <si>
    <t xml:space="preserve">ang-upgrade-i18n-J3</t>
  </si>
  <si>
    <t xml:space="preserve">¿Qué es internacionalizar (i18n) una app?</t>
  </si>
  <si>
    <t xml:space="preserve">Prepararla para varios idiomas y formatos regionales: textos, fechas, números y monedas</t>
  </si>
  <si>
    <t xml:space="preserve">Traducirla automáticamente</t>
  </si>
  <si>
    <t xml:space="preserve">Publicarla en varios países</t>
  </si>
  <si>
    <t xml:space="preserve">Usar UTF-8</t>
  </si>
  <si>
    <t xml:space="preserve">Localizar (l10n) es luego adaptarla a cada idioma concreto.</t>
  </si>
  <si>
    <t xml:space="preserve">ang-upgrade-i18n-J4</t>
  </si>
  <si>
    <t xml:space="preserve">Para mostrar una fecha según el idioma configurado se usa el pipe `___`.</t>
  </si>
  <si>
    <t xml:space="preserve">date</t>
  </si>
  <si>
    <t xml:space="preserve">format</t>
  </si>
  <si>
    <t xml:space="preserve">locale</t>
  </si>
  <si>
    <t xml:space="preserve">time</t>
  </si>
  <si>
    <t xml:space="preserve">Lo mismo ocurre con `currency`, `number` y `percent`: dependen de `LOCALE_ID`.</t>
  </si>
  <si>
    <t xml:space="preserve">ang-upgrade-i18n-M1</t>
  </si>
  <si>
    <t xml:space="preserve">Tienes que pasar de Angular 15 a 19. ¿Cómo?</t>
  </si>
  <si>
    <t xml:space="preserve">Una versión mayor cada vez (16, 17, 18, 19) con ng update, revisando la guía y pasando los tests en cada salto</t>
  </si>
  <si>
    <t xml:space="preserve">Directamente a la 19</t>
  </si>
  <si>
    <t xml:space="preserve">Reescribiendo la app</t>
  </si>
  <si>
    <t xml:space="preserve">Editando el package.json a mano</t>
  </si>
  <si>
    <t xml:space="preserve">ng update solo admite saltos de una versión mayor; así cada migración automática se aplica en orden.</t>
  </si>
  <si>
    <t xml:space="preserve">ang-upgrade-i18n-M2</t>
  </si>
  <si>
    <t xml:space="preserve">¿Qué hacen los schematics de `ng update`?</t>
  </si>
  <si>
    <t xml:space="preserve">Migran parte del código automáticamente (imports, APIs obsoletas) además de actualizar dependencias</t>
  </si>
  <si>
    <t xml:space="preserve">Solo cambian el package.json</t>
  </si>
  <si>
    <t xml:space="preserve">Crean una rama nueva</t>
  </si>
  <si>
    <t xml:space="preserve">Borran el código obsoleto</t>
  </si>
  <si>
    <t xml:space="preserve">Aun así, hay que revisar el diff y probar.</t>
  </si>
  <si>
    <t xml:space="preserve">ang-upgrade-i18n-M3</t>
  </si>
  <si>
    <t xml:space="preserve">¿Qué aporta `@@homeTitle`?</t>
  </si>
  <si>
    <t xml:space="preserve">&lt;h1 i18n="@@homeTitle"&gt;Bienvenido&lt;/h1&gt;</t>
  </si>
  <si>
    <t xml:space="preserve">Un ID fijo para la traducción, para que no cambie si se modifica el texto</t>
  </si>
  <si>
    <t xml:space="preserve">Un estilo CSS</t>
  </si>
  <si>
    <t xml:space="preserve">Que se traduzca automáticamente</t>
  </si>
  <si>
    <t xml:space="preserve">Un comentario para el traductor</t>
  </si>
  <si>
    <t xml:space="preserve">Sin ID, Angular genera uno a partir del texto: si el texto cambia, se pierde la traducción.</t>
  </si>
  <si>
    <t xml:space="preserve">ang-upgrade-i18n-M4</t>
  </si>
  <si>
    <t xml:space="preserve">`@angular/localize` frente a Transloco o ngx-translate: ¿diferencia principal?</t>
  </si>
  <si>
    <t xml:space="preserve">@angular/localize traduce en build (un bundle por idioma); Transloco/ngx-translate cargan las traducciones en ejecución y permiten cambiar de idioma sin recargar</t>
  </si>
  <si>
    <t xml:space="preserve">Son lo mismo</t>
  </si>
  <si>
    <t xml:space="preserve">Transloco solo sirve para fechas</t>
  </si>
  <si>
    <t xml:space="preserve">@angular/localize no admite plurales</t>
  </si>
  <si>
    <t xml:space="preserve">Build: más rendimiento y sin coste en ejecución. Runtime: más flexible para cambiar de idioma al vuelo.</t>
  </si>
  <si>
    <t xml:space="preserve">ang-upgrade-i18n-S1</t>
  </si>
  <si>
    <t xml:space="preserve">Una dependencia de terceros no es compatible con la nueva versión y bloquea la actualización. ¿Qué haces?</t>
  </si>
  <si>
    <t xml:space="preserve">Buscar versión compatible o alternativa, aislarla tras una capa propia y, como último recurso, un parche temporal documentado</t>
  </si>
  <si>
    <t xml:space="preserve">Abandonar la actualización para siempre</t>
  </si>
  <si>
    <t xml:space="preserve">Forzar la instalación con --force y desplegar</t>
  </si>
  <si>
    <t xml:space="preserve">Borrar la dependencia sin más</t>
  </si>
  <si>
    <t xml:space="preserve">Aislar dependencias externas detrás de tu propia capa reduce este riesgo en el futuro.</t>
  </si>
  <si>
    <t xml:space="preserve">ang-upgrade-i18n-S2</t>
  </si>
  <si>
    <t xml:space="preserve">¿Cómo aplicas migraciones opcionales como el nuevo control flow o standalone?</t>
  </si>
  <si>
    <t xml:space="preserve">Con `ng generate @angular/core:&lt;migración&gt;` por partes, revisando el diff y con tests</t>
  </si>
  <si>
    <t xml:space="preserve">A mano, archivo por archivo, en una rama de meses</t>
  </si>
  <si>
    <t xml:space="preserve">No se pueden aplicar en apps existentes</t>
  </si>
  <si>
    <t xml:space="preserve">Cambiando la versión de TypeScript</t>
  </si>
  <si>
    <t xml:space="preserve">Hay migraciones para control flow, standalone, inject y signal inputs, entre otras.</t>
  </si>
  <si>
    <t xml:space="preserve">ang-upgrade-i18n-S3</t>
  </si>
  <si>
    <t xml:space="preserve">¿Qué muestra con `count = 5`?</t>
  </si>
  <si>
    <t xml:space="preserve">&lt;span i18n&gt;
  {count, plural, =0 {Sin mensajes} =1 {1 mensaje} other {{{count}} mensajes}}
&lt;/span&gt;</t>
  </si>
  <si>
    <t xml:space="preserve">5 mensajes</t>
  </si>
  <si>
    <t xml:space="preserve">Sin mensajes</t>
  </si>
  <si>
    <t xml:space="preserve">1 mensaje</t>
  </si>
  <si>
    <t xml:space="preserve">{count} mensajes</t>
  </si>
  <si>
    <t xml:space="preserve">Es una expresión ICU de plurales: `other` cubre el resto de casos.</t>
  </si>
  <si>
    <t xml:space="preserve">ang-upgrade-i18n-S4</t>
  </si>
  <si>
    <t xml:space="preserve">Además de traducir textos, ¿qué necesitas para fechas y números en varios idiomas?</t>
  </si>
  <si>
    <t xml:space="preserve">Registrar los datos del locale y configurar `LOCALE_ID`</t>
  </si>
  <si>
    <t xml:space="preserve">Nada: Angular los detecta solo</t>
  </si>
  <si>
    <t xml:space="preserve">Una librería de fechas obligatoria</t>
  </si>
  <si>
    <t xml:space="preserve">Cambiar la zona horaria del servidor</t>
  </si>
  <si>
    <t xml:space="preserve">Con @angular/localize los datos del locale se incluyen al compilar cada idioma.</t>
  </si>
  <si>
    <t xml:space="preserve">ang-material-J1</t>
  </si>
  <si>
    <t xml:space="preserve">¿Qué es Angular Material?</t>
  </si>
  <si>
    <t xml:space="preserve">La librería oficial de componentes de UI de Angular, basada en Material Design</t>
  </si>
  <si>
    <t xml:space="preserve">Un framework CSS genérico</t>
  </si>
  <si>
    <t xml:space="preserve">Un plugin de iconos</t>
  </si>
  <si>
    <t xml:space="preserve">El motor de plantillas de Angular</t>
  </si>
  <si>
    <t xml:space="preserve">Incluye botones, formularios, tablas, diálogos, etc., accesibles y probados.</t>
  </si>
  <si>
    <t xml:space="preserve">ang-material-J2</t>
  </si>
  <si>
    <t xml:space="preserve">¿Qué es el CDK de Angular?</t>
  </si>
  <si>
    <t xml:space="preserve">Utilidades sin estilos (overlay, drag &amp; drop, virtual scroll, a11y) para crear tus propios componentes</t>
  </si>
  <si>
    <t xml:space="preserve">Un compilador</t>
  </si>
  <si>
    <t xml:space="preserve">Un kit de despliegue</t>
  </si>
  <si>
    <t xml:space="preserve">Una versión antigua de Material</t>
  </si>
  <si>
    <t xml:space="preserve">Material está construido sobre el CDK.</t>
  </si>
  <si>
    <t xml:space="preserve">ang-material-J3</t>
  </si>
  <si>
    <t xml:space="preserve">¿Cuál de estas es una librería de componentes para Angular?</t>
  </si>
  <si>
    <t xml:space="preserve">PrimeNG</t>
  </si>
  <si>
    <t xml:space="preserve">Material UI (MUI)</t>
  </si>
  <si>
    <t xml:space="preserve">Vuetify</t>
  </si>
  <si>
    <t xml:space="preserve">Chakra UI</t>
  </si>
  <si>
    <t xml:space="preserve">MUI y Chakra son de React y Vuetify es de Vue. Para Angular: Angular Material, PrimeNG, ng-zorro, Taiga UI…</t>
  </si>
  <si>
    <t xml:space="preserve">ang-material-J4</t>
  </si>
  <si>
    <t xml:space="preserve">¿Qué ventaja tiene usar una librería de componentes?</t>
  </si>
  <si>
    <t xml:space="preserve">Componentes accesibles y probados que aceleran el desarrollo y dan consistencia visual</t>
  </si>
  <si>
    <t xml:space="preserve">La app pesa menos siempre</t>
  </si>
  <si>
    <t xml:space="preserve">No hace falta CSS nunca</t>
  </si>
  <si>
    <t xml:space="preserve">No hay que actualizar dependencias</t>
  </si>
  <si>
    <t xml:space="preserve">A cambio dependes de su ritmo de versiones y de cómo permite personalizarse.</t>
  </si>
  <si>
    <t xml:space="preserve">ang-material-M1</t>
  </si>
  <si>
    <t xml:space="preserve">¿Qué define este mixin?</t>
  </si>
  <si>
    <t xml:space="preserve">@use '@angular/material' as mat;
html {
  @include mat.theme((
    color: mat.$violet-palette,
    typography: Roboto,
    density: 0,
  ));
}</t>
  </si>
  <si>
    <t xml:space="preserve">El tema global: paleta de color, tipografía y densidad, que Material expone como variables CSS (`--mat-sys-*`)</t>
  </si>
  <si>
    <t xml:space="preserve">Solo el color de los botones</t>
  </si>
  <si>
    <t xml:space="preserve">Los iconos</t>
  </si>
  <si>
    <t xml:space="preserve">La fuente del sistema operativo</t>
  </si>
  <si>
    <t xml:space="preserve">Es la API de theming de Material 3 en versiones recientes.</t>
  </si>
  <si>
    <t xml:space="preserve">ang-material-M2</t>
  </si>
  <si>
    <t xml:space="preserve">Quieres usar el color primario del tema en un componente propio. ¿Cómo?</t>
  </si>
  <si>
    <t xml:space="preserve">Con las variables del sistema, por ejemplo `var(--mat-sys-primary)`</t>
  </si>
  <si>
    <t xml:space="preserve">Copiando el hexadecimal</t>
  </si>
  <si>
    <t xml:space="preserve">Importando el componente mat-button</t>
  </si>
  <si>
    <t xml:space="preserve">Con `!important`</t>
  </si>
  <si>
    <t xml:space="preserve">Si cambia el tema, tu componente cambia con él.</t>
  </si>
  <si>
    <t xml:space="preserve">ang-material-M3</t>
  </si>
  <si>
    <t xml:space="preserve">¿Qué controla la configuración de `typography` del tema?</t>
  </si>
  <si>
    <t xml:space="preserve">La familia tipográfica y la escala (tamaños, pesos, interlineados) de los textos de los componentes</t>
  </si>
  <si>
    <t xml:space="preserve">Solo el tamaño de los títulos h1</t>
  </si>
  <si>
    <t xml:space="preserve">El idioma</t>
  </si>
  <si>
    <t xml:space="preserve">Así todos los componentes comparten la misma jerarquía tipográfica.</t>
  </si>
  <si>
    <t xml:space="preserve">ang-material-M4</t>
  </si>
  <si>
    <t xml:space="preserve">¿Cómo personalizas un componente de Material sin romperlo en futuras versiones?</t>
  </si>
  <si>
    <t xml:space="preserve">Con las APIs de overrides o tokens del tema (p. ej. `mat.button-overrides`) o variables CSS, no con selectores contra clases internas</t>
  </si>
  <si>
    <t xml:space="preserve">Con `::ng-deep` contra `.mat-mdc-…`</t>
  </si>
  <si>
    <t xml:space="preserve">Editando node_modules</t>
  </si>
  <si>
    <t xml:space="preserve">Copiando el componente</t>
  </si>
  <si>
    <t xml:space="preserve">Las clases internas pueden cambiar entre versiones; los tokens son la API pública.</t>
  </si>
  <si>
    <t xml:space="preserve">ang-material-S1</t>
  </si>
  <si>
    <t xml:space="preserve">¿Cómo montarías un design system sobre Angular Material para varias apps?</t>
  </si>
  <si>
    <t xml:space="preserve">Librería compartida con tema propio (tokens de color, tipografía y densidad), componentes envoltorio, Storybook y versionado</t>
  </si>
  <si>
    <t xml:space="preserve">Cada app con su tema copiado</t>
  </si>
  <si>
    <t xml:space="preserve">Un único CSS global sin componentes</t>
  </si>
  <si>
    <t xml:space="preserve">Sin Material, todo desde cero siempre</t>
  </si>
  <si>
    <t xml:space="preserve">El tema y los componentes viven en un paquete que las apps consumen por versión.</t>
  </si>
  <si>
    <t xml:space="preserve">ang-material-S2</t>
  </si>
  <si>
    <t xml:space="preserve">¿Por qué envolver componentes de Material en componentes propios?</t>
  </si>
  <si>
    <t xml:space="preserve">Para fijar una API propia y poder cambiar estilos o incluso de librería sin tocar toda la app</t>
  </si>
  <si>
    <t xml:space="preserve">Para que carguen más rápido</t>
  </si>
  <si>
    <t xml:space="preserve">Porque Material no permite usarlos directamente</t>
  </si>
  <si>
    <t xml:space="preserve">Para evitar los tests</t>
  </si>
  <si>
    <t xml:space="preserve">Si cambias de librería, solo tocas los envoltorios.</t>
  </si>
  <si>
    <t xml:space="preserve">ang-material-S3</t>
  </si>
  <si>
    <t xml:space="preserve">Botón de Material solo con icono. ¿Qué no puede faltar?</t>
  </si>
  <si>
    <t xml:space="preserve">&lt;button mat-icon-button (click)="delete()"&gt;
  &lt;mat-icon&gt;delete&lt;/mat-icon&gt;
&lt;/button&gt;</t>
  </si>
  <si>
    <t xml:space="preserve">Un `aria-label` que describa la acción</t>
  </si>
  <si>
    <t xml:space="preserve">Un tooltip obligatorio</t>
  </si>
  <si>
    <t xml:space="preserve">Un color secundario</t>
  </si>
  <si>
    <t xml:space="preserve">Un `tabindex="-1"`</t>
  </si>
  <si>
    <t xml:space="preserve">Sin texto, un lector de pantalla no sabe qué hace el botón.</t>
  </si>
  <si>
    <t xml:space="preserve">ang-material-S4</t>
  </si>
  <si>
    <t xml:space="preserve">¿Cómo implementas modo oscuro con Material 3?</t>
  </si>
  <si>
    <t xml:space="preserve">Aplicando el tema en modo oscuro (por ejemplo con `color-scheme: dark` o bajo una clase) y alternándolo en el elemento raíz</t>
  </si>
  <si>
    <t xml:space="preserve">Duplicando todos los componentes</t>
  </si>
  <si>
    <t xml:space="preserve">Con un filtro CSS invert()</t>
  </si>
  <si>
    <t xml:space="preserve">No es posible</t>
  </si>
  <si>
    <t xml:space="preserve">Al estar basado en variables CSS, cambiar de esquema no requiere recargar.</t>
  </si>
  <si>
    <t xml:space="preserve">rea-basics-J1</t>
  </si>
  <si>
    <t xml:space="preserve">¿Qué es JSX?</t>
  </si>
  <si>
    <t xml:space="preserve">Una sintaxis parecida a HTML que se compila a llamadas de JavaScript para crear elementos</t>
  </si>
  <si>
    <t xml:space="preserve">Un lenguaje distinto de JavaScript que el navegador entiende directamente</t>
  </si>
  <si>
    <t xml:space="preserve">Un motor de plantillas del servidor</t>
  </si>
  <si>
    <t xml:space="preserve">Un framework CSS</t>
  </si>
  <si>
    <t xml:space="preserve">El navegador no entiende JSX: un compilador (Babel, SWC, esbuild) lo transforma.</t>
  </si>
  <si>
    <t xml:space="preserve">rea-basics-J2</t>
  </si>
  <si>
    <t xml:space="preserve">¿Diferencia entre props y estado?</t>
  </si>
  <si>
    <t xml:space="preserve">Las props llegan del padre y son de solo lectura; el estado es interno y el componente lo cambia</t>
  </si>
  <si>
    <t xml:space="preserve">El estado llega del padre</t>
  </si>
  <si>
    <t xml:space="preserve">Las props solo pueden ser strings</t>
  </si>
  <si>
    <t xml:space="preserve">Si cambia el estado o llegan props nuevas, el componente se vuelve a renderizar.</t>
  </si>
  <si>
    <t xml:space="preserve">rea-basics-J3</t>
  </si>
  <si>
    <t xml:space="preserve">Al pintar una lista con map(), cada elemento necesita una prop ___ única y estable.</t>
  </si>
  <si>
    <t xml:space="preserve">id</t>
  </si>
  <si>
    <t xml:space="preserve">ref</t>
  </si>
  <si>
    <t xml:space="preserve">Usar el índice como key da problemas si la lista se reordena o se filtra.</t>
  </si>
  <si>
    <t xml:space="preserve">rea-basics-J4</t>
  </si>
  <si>
    <t xml:space="preserve">¿Qué se pinta?</t>
  </si>
  <si>
    <t xml:space="preserve">function Greeting({ name }) {
  return &lt;h1&gt;Hola, {name ?? 'invitado'}&lt;/h1&gt;;
}
&lt;Greeting /&gt;</t>
  </si>
  <si>
    <t xml:space="preserve">Hola, invitado</t>
  </si>
  <si>
    <t xml:space="preserve">Hola, undefined</t>
  </si>
  <si>
    <t xml:space="preserve">Un error: falta la prop name</t>
  </si>
  <si>
    <t xml:space="preserve">`??` usa el valor de la derecha cuando el de la izquierda es null o undefined.</t>
  </si>
  <si>
    <t xml:space="preserve">rea-basics-M1</t>
  </si>
  <si>
    <t xml:space="preserve">¿Por qué no se debe mutar el estado directamente (p. ej. `items.push(x)`)?</t>
  </si>
  <si>
    <t xml:space="preserve">React compara referencias: si mutas, la referencia no cambia y puede no volver a renderizar</t>
  </si>
  <si>
    <t xml:space="preserve">Porque push no existe en React</t>
  </si>
  <si>
    <t xml:space="preserve">Porque el estado es una constante de TypeScript</t>
  </si>
  <si>
    <t xml:space="preserve">No hay ningún problema</t>
  </si>
  <si>
    <t xml:space="preserve">Crea copias: setItems([...items, x]).</t>
  </si>
  <si>
    <t xml:space="preserve">rea-basics-M2</t>
  </si>
  <si>
    <t xml:space="preserve">¿Qué es un componente controlado en un formulario?</t>
  </si>
  <si>
    <t xml:space="preserve">Un input cuyo valor viene del estado de React y se actualiza con onChange</t>
  </si>
  <si>
    <t xml:space="preserve">Un input que gestiona el DOM por su cuenta</t>
  </si>
  <si>
    <t xml:space="preserve">Un componente con PropTypes</t>
  </si>
  <si>
    <t xml:space="preserve">Un componente sin props</t>
  </si>
  <si>
    <t xml:space="preserve">El no controlado guarda el valor en el DOM y se lee con una ref.</t>
  </si>
  <si>
    <t xml:space="preserve">rea-basics-M3</t>
  </si>
  <si>
    <t xml:space="preserve">¿Qué es el 'lifting state up'?</t>
  </si>
  <si>
    <t xml:space="preserve">Subir el estado al ancestro común cuando varios componentes lo necesitan</t>
  </si>
  <si>
    <t xml:space="preserve">Guardar el estado en localStorage</t>
  </si>
  <si>
    <t xml:space="preserve">Usar Redux siempre</t>
  </si>
  <si>
    <t xml:space="preserve">Pasar el estado a un hijo</t>
  </si>
  <si>
    <t xml:space="preserve">El padre guarda el estado y lo pasa por props, junto con funciones para cambiarlo.</t>
  </si>
  <si>
    <t xml:space="preserve">rea-basics-M4</t>
  </si>
  <si>
    <t xml:space="preserve">Con count en 0, tras llamar a `addThree()`, ¿cuánto vale count?</t>
  </si>
  <si>
    <t xml:space="preserve">const [count, setCount] = useState(0);
function addThree() {
  setCount(count + 1);
  setCount(count + 1);
  setCount(count + 1);
}</t>
  </si>
  <si>
    <t xml:space="preserve">1: las tres llamadas usan el mismo valor de count</t>
  </si>
  <si>
    <t xml:space="preserve">0</t>
  </si>
  <si>
    <t xml:space="preserve">Depende del navegador</t>
  </si>
  <si>
    <t xml:space="preserve">Para sumar 3 usa la forma funcional: `setCount(c =&gt; c + 1)` tres veces.</t>
  </si>
  <si>
    <t xml:space="preserve">rea-basics-S1</t>
  </si>
  <si>
    <t xml:space="preserve">¿Qué es la reconciliación?</t>
  </si>
  <si>
    <t xml:space="preserve">El proceso por el que React compara el árbol anterior con el nuevo y decide qué cambiar en el DOM</t>
  </si>
  <si>
    <t xml:space="preserve">Un patrón de Redux</t>
  </si>
  <si>
    <t xml:space="preserve">La fusión de ramas en Git</t>
  </si>
  <si>
    <t xml:space="preserve">La hidratación del servidor</t>
  </si>
  <si>
    <t xml:space="preserve">Las keys y el tipo de elemento guían ese algoritmo.</t>
  </si>
  <si>
    <t xml:space="preserve">rea-basics-S2</t>
  </si>
  <si>
    <t xml:space="preserve">¿Qué ventaja tiene la composición (children, props de render) frente a la herencia en React?</t>
  </si>
  <si>
    <t xml:space="preserve">Componentes más flexibles y reutilizables sin jerarquías rígidas</t>
  </si>
  <si>
    <t xml:space="preserve">Mejor rendimiento siempre</t>
  </si>
  <si>
    <t xml:space="preserve">Es obligatoria en TypeScript</t>
  </si>
  <si>
    <t xml:space="preserve">React recomienda composición; la herencia entre componentes casi nunca se usa.</t>
  </si>
  <si>
    <t xml:space="preserve">rea-basics-S3</t>
  </si>
  <si>
    <t xml:space="preserve">¿Qué aportan los Server Components (p. ej. en Next.js)?</t>
  </si>
  <si>
    <t xml:space="preserve">Se renderizan en el servidor, pueden acceder a datos directamente y no envían su JavaScript al cliente</t>
  </si>
  <si>
    <t xml:space="preserve">Sustituyen a los hooks en el cliente</t>
  </si>
  <si>
    <t xml:space="preserve">Funcionan sin servidor</t>
  </si>
  <si>
    <t xml:space="preserve">Solo sirven para CSS</t>
  </si>
  <si>
    <t xml:space="preserve">Los componentes interactivos siguen siendo de cliente ('use client').</t>
  </si>
  <si>
    <t xml:space="preserve">rea-basics-S4</t>
  </si>
  <si>
    <t xml:space="preserve">¿Para qué sirve `key` aquí?</t>
  </si>
  <si>
    <t xml:space="preserve">&lt;ProfileForm key={userId} userId={userId} /&gt;</t>
  </si>
  <si>
    <t xml:space="preserve">Cuando cambia userId, React monta un formulario nuevo y reinicia su estado interno</t>
  </si>
  <si>
    <t xml:space="preserve">Para mejorar el SEO</t>
  </si>
  <si>
    <t xml:space="preserve">Para que el formulario no se renderice</t>
  </si>
  <si>
    <t xml:space="preserve">Es obligatorio en todos los componentes</t>
  </si>
  <si>
    <t xml:space="preserve">Cambiar la key es la forma idiomática de resetear el estado de un componente.</t>
  </si>
  <si>
    <t xml:space="preserve">rea-hooks-J1</t>
  </si>
  <si>
    <t xml:space="preserve">¿Qué devuelve `useState`?</t>
  </si>
  <si>
    <t xml:space="preserve">Un array con el valor actual y una función para cambiarlo</t>
  </si>
  <si>
    <t xml:space="preserve">Solo el valor</t>
  </si>
  <si>
    <t xml:space="preserve">Una promesa</t>
  </si>
  <si>
    <t xml:space="preserve">Un objeto con get y set</t>
  </si>
  <si>
    <t xml:space="preserve">const [count, setCount] = useState(0).</t>
  </si>
  <si>
    <t xml:space="preserve">rea-hooks-J2</t>
  </si>
  <si>
    <t xml:space="preserve">¿Cuándo se ejecuta `useEffect(() =&gt; {...}, [])`?</t>
  </si>
  <si>
    <t xml:space="preserve">Una vez tras el primer render (y su limpieza al desmontar)</t>
  </si>
  <si>
    <t xml:space="preserve">En cada render</t>
  </si>
  <si>
    <t xml:space="preserve">Antes del primer render</t>
  </si>
  <si>
    <t xml:space="preserve">Nunca</t>
  </si>
  <si>
    <t xml:space="preserve">En desarrollo con StrictMode se ejecuta dos veces a propósito para detectar efectos mal limpiados.</t>
  </si>
  <si>
    <t xml:space="preserve">rea-hooks-J3</t>
  </si>
  <si>
    <t xml:space="preserve">Los hooks solo se pueden llamar en el nivel superior de un componente, nunca dentro de ___.</t>
  </si>
  <si>
    <t xml:space="preserve">condiciones o bucles</t>
  </si>
  <si>
    <t xml:space="preserve">funciones flecha</t>
  </si>
  <si>
    <t xml:space="preserve">archivos .tsx</t>
  </si>
  <si>
    <t xml:space="preserve">componentes</t>
  </si>
  <si>
    <t xml:space="preserve">React identifica cada hook por su orden de llamada; si cambia el orden, se rompe.</t>
  </si>
  <si>
    <t xml:space="preserve">rea-hooks-J4</t>
  </si>
  <si>
    <t xml:space="preserve">¿Cuándo se ejecuta este efecto?</t>
  </si>
  <si>
    <t xml:space="preserve">useEffect(() =&gt; {
  document.title = `Tienes ${count} mensajes`;
}, [count]);</t>
  </si>
  <si>
    <t xml:space="preserve">Tras el primer render y cada vez que cambia count</t>
  </si>
  <si>
    <t xml:space="preserve">Solo una vez</t>
  </si>
  <si>
    <t xml:space="preserve">Antes del render</t>
  </si>
  <si>
    <t xml:space="preserve">El array de dependencias decide cuándo se repite.</t>
  </si>
  <si>
    <t xml:space="preserve">rea-hooks-M1</t>
  </si>
  <si>
    <t xml:space="preserve">¿Para qué sirve la función de limpieza de useEffect?</t>
  </si>
  <si>
    <t xml:space="preserve">Para deshacer lo que hizo el efecto (desuscribirse, cancelar timers o peticiones) antes del siguiente efecto o al desmontar</t>
  </si>
  <si>
    <t xml:space="preserve">Para limpiar el estado</t>
  </si>
  <si>
    <t xml:space="preserve">Para borrar el DOM</t>
  </si>
  <si>
    <t xml:space="preserve">Para reiniciar el componente</t>
  </si>
  <si>
    <t xml:space="preserve">Sin limpieza aparecen fugas y actualizaciones de estado en componentes desmontados.</t>
  </si>
  <si>
    <t xml:space="preserve">rea-hooks-M2</t>
  </si>
  <si>
    <t xml:space="preserve">¿Diferencia entre `useMemo` y `useCallback`?</t>
  </si>
  <si>
    <t xml:space="preserve">useMemo memoriza un valor calculado; useCallback memoriza una función</t>
  </si>
  <si>
    <t xml:space="preserve">useCallback memoriza valores y useMemo funciones</t>
  </si>
  <si>
    <t xml:space="preserve">Solo funcionan en clases</t>
  </si>
  <si>
    <t xml:space="preserve">useCallback(fn, deps) equivale a useMemo(() =&gt; fn, deps).</t>
  </si>
  <si>
    <t xml:space="preserve">rea-hooks-M3</t>
  </si>
  <si>
    <t xml:space="preserve">¿Para qué se usa `useRef`?</t>
  </si>
  <si>
    <t xml:space="preserve">Guardar un valor que persiste entre renders sin provocar re-render, o referenciar un elemento del DOM</t>
  </si>
  <si>
    <t xml:space="preserve">Para el estado global</t>
  </si>
  <si>
    <t xml:space="preserve">Para hacer peticiones</t>
  </si>
  <si>
    <t xml:space="preserve">Para memorizar funciones</t>
  </si>
  <si>
    <t xml:space="preserve">Cambiar ref.current no vuelve a renderizar.</t>
  </si>
  <si>
    <t xml:space="preserve">rea-hooks-M4</t>
  </si>
  <si>
    <t xml:space="preserve">¿Qué falta?</t>
  </si>
  <si>
    <t xml:space="preserve">useEffect(() =&gt; {
  const id = setInterval(() =&gt; setSeconds(s =&gt; s + 1), 1000);
}, []);</t>
  </si>
  <si>
    <t xml:space="preserve">Devolver una limpieza: `return () =&gt; clearInterval(id)`</t>
  </si>
  <si>
    <t xml:space="preserve">Poner `id` en las dependencias</t>
  </si>
  <si>
    <t xml:space="preserve">Usar `setSeconds(seconds + 1)`</t>
  </si>
  <si>
    <t xml:space="preserve">Sin limpieza, el intervalo sigue vivo al desmontar (y en StrictMode verías dos).</t>
  </si>
  <si>
    <t xml:space="preserve">rea-hooks-S1</t>
  </si>
  <si>
    <t xml:space="preserve">Un useEffect se ejecuta en bucle infinito. ¿Causa más probable?</t>
  </si>
  <si>
    <t xml:space="preserve">Una dependencia que se recrea en cada render (objeto, array o función) o un setState que cambia una dependencia</t>
  </si>
  <si>
    <t xml:space="preserve">React está mal instalado</t>
  </si>
  <si>
    <t xml:space="preserve">Falta un key</t>
  </si>
  <si>
    <t xml:space="preserve">El componente es demasiado grande</t>
  </si>
  <si>
    <t xml:space="preserve">Soluciones: memorizar la dependencia, mover el objeto fuera o replantear si el efecto es necesario.</t>
  </si>
  <si>
    <t xml:space="preserve">rea-hooks-S2</t>
  </si>
  <si>
    <t xml:space="preserve">¿Qué dice la guía 'You might not need an effect'?</t>
  </si>
  <si>
    <t xml:space="preserve">Muchos efectos sobran: los valores derivados se calculan en el render y las acciones del usuario van en los manejadores de eventos</t>
  </si>
  <si>
    <t xml:space="preserve">Hay que usar efectos para todo</t>
  </si>
  <si>
    <t xml:space="preserve">Los efectos están obsoletos</t>
  </si>
  <si>
    <t xml:space="preserve">Solo se usan efectos en clases</t>
  </si>
  <si>
    <t xml:space="preserve">Los efectos son para sincronizar con sistemas externos.</t>
  </si>
  <si>
    <t xml:space="preserve">rea-hooks-S3</t>
  </si>
  <si>
    <t xml:space="preserve">¿Qué hace `useTransition`?</t>
  </si>
  <si>
    <t xml:space="preserve">Marca una actualización como no urgente para que la UI siga respondiendo mientras se procesa</t>
  </si>
  <si>
    <t xml:space="preserve">Anima transiciones CSS</t>
  </si>
  <si>
    <t xml:space="preserve">Cambia de ruta</t>
  </si>
  <si>
    <t xml:space="preserve">Retrasa el useEffect</t>
  </si>
  <si>
    <t xml:space="preserve">Útil, por ejemplo, para filtrar una lista enorme sin bloquear el input.</t>
  </si>
  <si>
    <t xml:space="preserve">rea-hooks-S4</t>
  </si>
  <si>
    <t xml:space="preserve">El efecto se ejecuta en cada render. ¿Por qué?</t>
  </si>
  <si>
    <t xml:space="preserve">const options = { page: 1 };
useEffect(() =&gt; {
  fetchData(options).then(setData);
}, [options]);</t>
  </si>
  <si>
    <t xml:space="preserve">`options` es un objeto nuevo en cada render; usa `page` como dependencia o memoriza el objeto</t>
  </si>
  <si>
    <t xml:space="preserve">fetchData es asíncrono</t>
  </si>
  <si>
    <t xml:space="preserve">Falta un `async` en el efecto</t>
  </si>
  <si>
    <t xml:space="preserve">setData provoca siempre un bucle</t>
  </si>
  <si>
    <t xml:space="preserve">React compara dependencias por referencia.</t>
  </si>
  <si>
    <t xml:space="preserve">rea-state-J1</t>
  </si>
  <si>
    <t xml:space="preserve">¿Qué problema resuelve Context?</t>
  </si>
  <si>
    <t xml:space="preserve">Pasar datos a muchos componentes sin ir prop por prop por toda la jerarquía (prop drilling)</t>
  </si>
  <si>
    <t xml:space="preserve">Hacer peticiones HTTP</t>
  </si>
  <si>
    <t xml:space="preserve">Mejorar el rendimiento siempre</t>
  </si>
  <si>
    <t xml:space="preserve">Sustituir a useState</t>
  </si>
  <si>
    <t xml:space="preserve">Se usa para datos como el tema, el idioma o el usuario logueado.</t>
  </si>
  <si>
    <t xml:space="preserve">rea-state-J2</t>
  </si>
  <si>
    <t xml:space="preserve">Para leer un contexto dentro de un componente se usa el hook ___.</t>
  </si>
  <si>
    <t xml:space="preserve">useContext</t>
  </si>
  <si>
    <t xml:space="preserve">useState</t>
  </si>
  <si>
    <t xml:space="preserve">useProvider</t>
  </si>
  <si>
    <t xml:space="preserve">useStore</t>
  </si>
  <si>
    <t xml:space="preserve">El valor viene del Provider más cercano en el árbol.</t>
  </si>
  <si>
    <t xml:space="preserve">rea-state-J3</t>
  </si>
  <si>
    <t xml:space="preserve">¿Dónde es mejor hacer una petición inicial de datos en un componente de cliente sencillo?</t>
  </si>
  <si>
    <t xml:space="preserve">En un useEffect (o mejor, con una librería como TanStack Query)</t>
  </si>
  <si>
    <t xml:space="preserve">Directamente en el cuerpo del componente</t>
  </si>
  <si>
    <t xml:space="preserve">En el constructor</t>
  </si>
  <si>
    <t xml:space="preserve">En el CSS</t>
  </si>
  <si>
    <t xml:space="preserve">Hacerla en el cuerpo la lanzaría en cada render.</t>
  </si>
  <si>
    <t xml:space="preserve">rea-state-J4</t>
  </si>
  <si>
    <t xml:space="preserve">No hay ningún Provider por encima. ¿Qué clase tiene el botón?</t>
  </si>
  <si>
    <t xml:space="preserve">const ThemeContext = createContext('light');
function Button() {
  const theme = useContext(ThemeContext);
  return &lt;button className={theme}&gt;OK&lt;/button&gt;;
}</t>
  </si>
  <si>
    <t xml:space="preserve">light: el valor por defecto de createContext</t>
  </si>
  <si>
    <t xml:space="preserve">dark</t>
  </si>
  <si>
    <t xml:space="preserve">Error de React</t>
  </si>
  <si>
    <t xml:space="preserve">El valor por defecto solo se usa cuando no hay Provider en el árbol.</t>
  </si>
  <si>
    <t xml:space="preserve">rea-state-M1</t>
  </si>
  <si>
    <t xml:space="preserve">¿Qué aporta TanStack Query (React Query)?</t>
  </si>
  <si>
    <t xml:space="preserve">Gestión del estado del servidor: caché, reintentos, refetch, estados de carga y error</t>
  </si>
  <si>
    <t xml:space="preserve">Un sistema de routing</t>
  </si>
  <si>
    <t xml:space="preserve">Sustituye a useState para todo</t>
  </si>
  <si>
    <t xml:space="preserve">Separa el estado del servidor del estado de la UI.</t>
  </si>
  <si>
    <t xml:space="preserve">rea-state-M2</t>
  </si>
  <si>
    <t xml:space="preserve">Un problema de rendimiento típico de Context es…</t>
  </si>
  <si>
    <t xml:space="preserve">Todos los consumidores se vuelven a renderizar cuando cambia el valor, aunque solo usen una parte</t>
  </si>
  <si>
    <t xml:space="preserve">No funciona con TypeScript</t>
  </si>
  <si>
    <t xml:space="preserve">Solo admite strings</t>
  </si>
  <si>
    <t xml:space="preserve">No se puede anidar</t>
  </si>
  <si>
    <t xml:space="preserve">Se mitiga dividiendo contextos o memorizando el valor.</t>
  </si>
  <si>
    <t xml:space="preserve">rea-state-M3</t>
  </si>
  <si>
    <t xml:space="preserve">Redux Toolkit frente al Redux clásico:</t>
  </si>
  <si>
    <t xml:space="preserve">Reduce el código repetitivo con createSlice y usa Immer para escribir actualizaciones inmutables de forma sencilla</t>
  </si>
  <si>
    <t xml:space="preserve">Elimina la store</t>
  </si>
  <si>
    <t xml:space="preserve">Ya no usa acciones</t>
  </si>
  <si>
    <t xml:space="preserve">Solo funciona con clases</t>
  </si>
  <si>
    <t xml:space="preserve">Es la forma recomendada de usar Redux hoy.</t>
  </si>
  <si>
    <t xml:space="preserve">rea-state-M4</t>
  </si>
  <si>
    <t xml:space="preserve">Otro componente usa la misma queryKey. ¿Qué ocurre?</t>
  </si>
  <si>
    <t xml:space="preserve">const { data, isPending, error } = useQuery({
  queryKey: ['user', id],
  queryFn: () =&gt; fetchUser(id),
});</t>
  </si>
  <si>
    <t xml:space="preserve">Comparte la caché: no se repite la petición mientras los datos estén frescos</t>
  </si>
  <si>
    <t xml:space="preserve">Se hace otra petición siempre</t>
  </si>
  <si>
    <t xml:space="preserve">Error por clave duplicada</t>
  </si>
  <si>
    <t xml:space="preserve">Se borran los datos del primero</t>
  </si>
  <si>
    <t xml:space="preserve">La queryKey identifica los datos en la caché de TanStack Query.</t>
  </si>
  <si>
    <t xml:space="preserve">rea-state-S1</t>
  </si>
  <si>
    <t xml:space="preserve">¿Qué es una actualización optimista?</t>
  </si>
  <si>
    <t xml:space="preserve">Actualizar la UI antes de que responda el servidor y revertir si la petición falla</t>
  </si>
  <si>
    <t xml:space="preserve">Esperar siempre al servidor</t>
  </si>
  <si>
    <t xml:space="preserve">Cachear para siempre</t>
  </si>
  <si>
    <t xml:space="preserve">Hacer dos peticiones</t>
  </si>
  <si>
    <t xml:space="preserve">Mejora la sensación de velocidad; TanStack Query y useOptimistic lo facilitan.</t>
  </si>
  <si>
    <t xml:space="preserve">rea-state-S2</t>
  </si>
  <si>
    <t xml:space="preserve">¿Cuándo elegirías Redux Toolkit frente a Zustand?</t>
  </si>
  <si>
    <t xml:space="preserve">Redux si necesitas convenciones estrictas, middleware y devtools en un equipo grande; Zustand si buscas algo mínimo y sencillo</t>
  </si>
  <si>
    <t xml:space="preserve">Zustand siempre es mejor</t>
  </si>
  <si>
    <t xml:space="preserve">Redux siempre es mejor</t>
  </si>
  <si>
    <t xml:space="preserve">Son incompatibles con TypeScript</t>
  </si>
  <si>
    <t xml:space="preserve">No hay una respuesta única: depende del tamaño del equipo y la complejidad.</t>
  </si>
  <si>
    <t xml:space="preserve">rea-state-S3</t>
  </si>
  <si>
    <t xml:space="preserve">¿Cómo evitas mostrar datos antiguos tras una mutación?</t>
  </si>
  <si>
    <t xml:space="preserve">Invalidando las queries afectadas o actualizando la caché con la respuesta</t>
  </si>
  <si>
    <t xml:space="preserve">Recargando la página</t>
  </si>
  <si>
    <t xml:space="preserve">Desactivando la caché</t>
  </si>
  <si>
    <t xml:space="preserve">Usando setTimeout</t>
  </si>
  <si>
    <t xml:space="preserve">queryClient.invalidateQueries o setQueryData.</t>
  </si>
  <si>
    <t xml:space="preserve">rea-state-S4</t>
  </si>
  <si>
    <t xml:space="preserve">¿Qué hace `onSuccess`?</t>
  </si>
  <si>
    <t xml:space="preserve">const mutation = useMutation({
  mutationFn: updateUser,
  onSuccess: () =&gt; queryClient.invalidateQueries({ queryKey: ['user'] }),
});</t>
  </si>
  <si>
    <t xml:space="preserve">Marca como obsoletas las consultas que empiezan por ['user'] y las vuelve a pedir si están en pantalla</t>
  </si>
  <si>
    <t xml:space="preserve">Borra la base de datos</t>
  </si>
  <si>
    <t xml:space="preserve">Cancela la mutación</t>
  </si>
  <si>
    <t xml:space="preserve">Nada si no hay errores</t>
  </si>
  <si>
    <t xml:space="preserve">Así la interfaz muestra los datos actualizados tras guardar.</t>
  </si>
  <si>
    <t xml:space="preserve">rea-perf-J1</t>
  </si>
  <si>
    <t xml:space="preserve">¿Qué hace `React.memo`?</t>
  </si>
  <si>
    <t xml:space="preserve">Evita volver a renderizar un componente si sus props no han cambiado</t>
  </si>
  <si>
    <t xml:space="preserve">Guarda datos en localStorage</t>
  </si>
  <si>
    <t xml:space="preserve">Memoriza peticiones HTTP</t>
  </si>
  <si>
    <t xml:space="preserve">Hace el componente asíncrono</t>
  </si>
  <si>
    <t xml:space="preserve">Compara las props de forma superficial.</t>
  </si>
  <si>
    <t xml:space="preserve">rea-perf-J2</t>
  </si>
  <si>
    <t xml:space="preserve">¿Qué herramienta usarías para ver qué componentes se renderizan y cuánto tardan?</t>
  </si>
  <si>
    <t xml:space="preserve">El Profiler de React DevTools</t>
  </si>
  <si>
    <t xml:space="preserve">La consola de Node</t>
  </si>
  <si>
    <t xml:space="preserve">npm audit</t>
  </si>
  <si>
    <t xml:space="preserve">Git</t>
  </si>
  <si>
    <t xml:space="preserve">Permite ver cada commit de render y su coste.</t>
  </si>
  <si>
    <t xml:space="preserve">rea-perf-J3</t>
  </si>
  <si>
    <t xml:space="preserve">Cargar un componente solo cuando se necesita se hace con React.___ y Suspense.</t>
  </si>
  <si>
    <t xml:space="preserve">lazy</t>
  </si>
  <si>
    <t xml:space="preserve">memo</t>
  </si>
  <si>
    <t xml:space="preserve">use</t>
  </si>
  <si>
    <t xml:space="preserve">defer</t>
  </si>
  <si>
    <t xml:space="preserve">const Admin = React.lazy(() =&gt; import('./Admin')).</t>
  </si>
  <si>
    <t xml:space="preserve">rea-perf-J4</t>
  </si>
  <si>
    <t xml:space="preserve">¿Cuándo se vuelve a renderizar `Row`?</t>
  </si>
  <si>
    <t xml:space="preserve">const Row = memo(function Row({ item }) {
  return &lt;li&gt;{item.name}&lt;/li&gt;;
});</t>
  </si>
  <si>
    <t xml:space="preserve">Cuando cambian sus props (comparación superficial), su estado o un contexto que use</t>
  </si>
  <si>
    <t xml:space="preserve">En cada render del padre</t>
  </si>
  <si>
    <t xml:space="preserve">Solo al montarse</t>
  </si>
  <si>
    <t xml:space="preserve">`memo` evita renders del hijo cuando el padre se renderiza con las mismas props.</t>
  </si>
  <si>
    <t xml:space="preserve">rea-perf-M1</t>
  </si>
  <si>
    <t xml:space="preserve">Pasas una función nueva como prop a un hijo con React.memo en cada render. ¿Qué ocurre?</t>
  </si>
  <si>
    <t xml:space="preserve">El hijo se vuelve a renderizar igualmente, porque la referencia de la función cambia</t>
  </si>
  <si>
    <t xml:space="preserve">No pasa nada</t>
  </si>
  <si>
    <t xml:space="preserve">React lanza un error</t>
  </si>
  <si>
    <t xml:space="preserve">El hijo deja de renderizar</t>
  </si>
  <si>
    <t xml:space="preserve">useCallback mantiene la misma referencia entre renders.</t>
  </si>
  <si>
    <t xml:space="preserve">rea-perf-M2</t>
  </si>
  <si>
    <t xml:space="preserve">Para listas de miles de elementos, lo más efectivo es…</t>
  </si>
  <si>
    <t xml:space="preserve">Virtualizar (react-window, TanStack Virtual)</t>
  </si>
  <si>
    <t xml:space="preserve">Usar más keys</t>
  </si>
  <si>
    <t xml:space="preserve">Añadir más useEffect</t>
  </si>
  <si>
    <t xml:space="preserve">Pasar a clases</t>
  </si>
  <si>
    <t xml:space="preserve">Solo se pinta lo visible.</t>
  </si>
  <si>
    <t xml:space="preserve">rea-perf-M3</t>
  </si>
  <si>
    <t xml:space="preserve">¿Qué mide el INP (Interaction to Next Paint)?</t>
  </si>
  <si>
    <t xml:space="preserve">Cuánto tarda la página en responder visualmente a las interacciones del usuario</t>
  </si>
  <si>
    <t xml:space="preserve">El tiempo de descarga del HTML</t>
  </si>
  <si>
    <t xml:space="preserve">El tamaño del bundle</t>
  </si>
  <si>
    <t xml:space="preserve">La memoria usada</t>
  </si>
  <si>
    <t xml:space="preserve">Es una de las Core Web Vitals, junto a LCP y CLS.</t>
  </si>
  <si>
    <t xml:space="preserve">rea-perf-M4</t>
  </si>
  <si>
    <t xml:space="preserve">¿Qué aporta `useCallback` si Row está envuelto en memo?</t>
  </si>
  <si>
    <t xml:space="preserve">const handleClick = useCallback(() =&gt; select(id), [id]);
return &lt;Row onClick={handleClick} /&gt;;</t>
  </si>
  <si>
    <t xml:space="preserve">Mantiene la misma función entre renders mientras id no cambie, así Row no se re-renderiza sin necesidad</t>
  </si>
  <si>
    <t xml:space="preserve">Hace la función asíncrona</t>
  </si>
  <si>
    <t xml:space="preserve">Ejecuta select al montar</t>
  </si>
  <si>
    <t xml:space="preserve">Sin useCallback, cada render crea una función nueva y memo no sirve.</t>
  </si>
  <si>
    <t xml:space="preserve">rea-perf-S1</t>
  </si>
  <si>
    <t xml:space="preserve">¿Qué hace el React Compiler?</t>
  </si>
  <si>
    <t xml:space="preserve">Añade memorización automáticamente en tiempo de compilación, reduciendo la necesidad de useMemo/useCallback manuales</t>
  </si>
  <si>
    <t xml:space="preserve">Convierte React a Vue</t>
  </si>
  <si>
    <t xml:space="preserve">Elimina el virtual DOM</t>
  </si>
  <si>
    <t xml:space="preserve">Compila a WebAssembly</t>
  </si>
  <si>
    <t xml:space="preserve">Exige que el código siga las reglas de React (componentes puros, hooks bien usados).</t>
  </si>
  <si>
    <t xml:space="preserve">rea-perf-S2</t>
  </si>
  <si>
    <t xml:space="preserve">¿Qué aporta el streaming SSR con Suspense?</t>
  </si>
  <si>
    <t xml:space="preserve">El servidor envía el HTML por partes y la página se muestra antes, sin esperar a los datos más lentos</t>
  </si>
  <si>
    <t xml:space="preserve">Sustituye al CDN</t>
  </si>
  <si>
    <t xml:space="preserve">Elimina el JavaScript</t>
  </si>
  <si>
    <t xml:space="preserve">Solo sirve para vídeo</t>
  </si>
  <si>
    <t xml:space="preserve">Las partes lentas muestran un fallback hasta que llegan.</t>
  </si>
  <si>
    <t xml:space="preserve">rea-perf-S3</t>
  </si>
  <si>
    <t xml:space="preserve">¿Por qué conviene medir en producción (RUM) además de en local?</t>
  </si>
  <si>
    <t xml:space="preserve">Porque los usuarios reales tienen dispositivos y redes muy distintos a tu máquina</t>
  </si>
  <si>
    <t xml:space="preserve">Porque en local no funciona el Profiler</t>
  </si>
  <si>
    <t xml:space="preserve">No conviene</t>
  </si>
  <si>
    <t xml:space="preserve">Por obligación legal</t>
  </si>
  <si>
    <t xml:space="preserve">Los datos de campo (RUM) muestran lo que de verdad sufren los usuarios.</t>
  </si>
  <si>
    <t xml:space="preserve">rea-perf-S4</t>
  </si>
  <si>
    <t xml:space="preserve">¿Qué ocurre la primera vez que se pinta Admin?</t>
  </si>
  <si>
    <t xml:space="preserve">const Admin = lazy(() =&gt; import('./Admin'));
&lt;Suspense fallback={&lt;Spinner /&gt;}&gt;
  &lt;Admin /&gt;
&lt;/Suspense&gt;</t>
  </si>
  <si>
    <t xml:space="preserve">Se descarga su chunk y, mientras, se muestra Spinner</t>
  </si>
  <si>
    <t xml:space="preserve">Se pinta en blanco para siempre</t>
  </si>
  <si>
    <t xml:space="preserve">Se carga al arrancar la app</t>
  </si>
  <si>
    <t xml:space="preserve">Error: lazy solo funciona en Next.js</t>
  </si>
  <si>
    <t xml:space="preserve">Code splitting por componente con `lazy` y `Suspense`.</t>
  </si>
  <si>
    <t xml:space="preserve">rea-routing-J1</t>
  </si>
  <si>
    <t xml:space="preserve">¿Qué librería se usa habitualmente para la navegación en una SPA de React?</t>
  </si>
  <si>
    <t xml:space="preserve">React Router (o el router de un framework como Next.js)</t>
  </si>
  <si>
    <t xml:space="preserve">Express</t>
  </si>
  <si>
    <t xml:space="preserve">Axios</t>
  </si>
  <si>
    <t xml:space="preserve">Jest</t>
  </si>
  <si>
    <t xml:space="preserve">React no trae router propio.</t>
  </si>
  <si>
    <t xml:space="preserve">rea-routing-J2</t>
  </si>
  <si>
    <t xml:space="preserve">En React Router, para navegar sin recargar la página se usa el componente ___.</t>
  </si>
  <si>
    <t xml:space="preserve">&lt;Link&gt;</t>
  </si>
  <si>
    <t xml:space="preserve">&lt;a&gt;</t>
  </si>
  <si>
    <t xml:space="preserve">&lt;Route&gt;</t>
  </si>
  <si>
    <t xml:space="preserve">&lt;Navigate&gt;</t>
  </si>
  <si>
    <t xml:space="preserve">Un &lt;a&gt; normal recargaría la página entera.</t>
  </si>
  <si>
    <t xml:space="preserve">rea-routing-J3</t>
  </si>
  <si>
    <t xml:space="preserve">¿Qué es una SPA?</t>
  </si>
  <si>
    <t xml:space="preserve">Una aplicación de una sola página que cambia el contenido sin recargar el documento</t>
  </si>
  <si>
    <t xml:space="preserve">Una web con un solo archivo HTML y sin JavaScript</t>
  </si>
  <si>
    <t xml:space="preserve">Un servidor de APIs</t>
  </si>
  <si>
    <t xml:space="preserve">Una app nativa</t>
  </si>
  <si>
    <t xml:space="preserve">El routing ocurre en el cliente.</t>
  </si>
  <si>
    <t xml:space="preserve">rea-routing-J4</t>
  </si>
  <si>
    <t xml:space="preserve">Dentro de `User`, ¿cómo lees el id?</t>
  </si>
  <si>
    <t xml:space="preserve">&lt;Routes&gt;
  &lt;Route path="/" element={&lt;Home /&gt;} /&gt;
  &lt;Route path="/users/:id" element={&lt;User /&gt;} /&gt;
&lt;/Routes&gt;</t>
  </si>
  <si>
    <t xml:space="preserve">`const { id } = useParams()`</t>
  </si>
  <si>
    <t xml:space="preserve">`props.id`</t>
  </si>
  <si>
    <t xml:space="preserve">`window.location.id`</t>
  </si>
  <si>
    <t xml:space="preserve">`useState('id')`</t>
  </si>
  <si>
    <t xml:space="preserve">useParams devuelve los parámetros dinámicos de la ruta actual.</t>
  </si>
  <si>
    <t xml:space="preserve">rea-routing-M1</t>
  </si>
  <si>
    <t xml:space="preserve">¿Cómo proteges una ruta privada en React Router?</t>
  </si>
  <si>
    <t xml:space="preserve">Con un componente o loader que comprueba la sesión y redirige con &lt;Navigate&gt; o redirect si no hay usuario</t>
  </si>
  <si>
    <t xml:space="preserve">Ocultando el enlace en el menú</t>
  </si>
  <si>
    <t xml:space="preserve">Con CSS</t>
  </si>
  <si>
    <t xml:space="preserve">No se puede</t>
  </si>
  <si>
    <t xml:space="preserve">Ocultar el enlace no basta: el usuario puede escribir la URL. Y la seguridad real está en el backend.</t>
  </si>
  <si>
    <t xml:space="preserve">rea-routing-M2</t>
  </si>
  <si>
    <t xml:space="preserve">¿Qué son los loaders de React Router (data routers)?</t>
  </si>
  <si>
    <t xml:space="preserve">Funciones que cargan datos antes de renderizar la ruta</t>
  </si>
  <si>
    <t xml:space="preserve">Spinners de carga</t>
  </si>
  <si>
    <t xml:space="preserve">Componentes de error</t>
  </si>
  <si>
    <t xml:space="preserve">Hooks de estado</t>
  </si>
  <si>
    <t xml:space="preserve">Evitan cascadas de peticiones y simplifican los estados de carga.</t>
  </si>
  <si>
    <t xml:space="preserve">rea-routing-M3</t>
  </si>
  <si>
    <t xml:space="preserve">¿Dónde guardarías los filtros de una tabla para poder compartir el enlace?</t>
  </si>
  <si>
    <t xml:space="preserve">En los query params de la URL</t>
  </si>
  <si>
    <t xml:space="preserve">En useState</t>
  </si>
  <si>
    <t xml:space="preserve">En una variable global</t>
  </si>
  <si>
    <t xml:space="preserve">En sessionStorage</t>
  </si>
  <si>
    <t xml:space="preserve">useSearchParams los lee y escribe.</t>
  </si>
  <si>
    <t xml:space="preserve">rea-routing-M4</t>
  </si>
  <si>
    <t xml:space="preserve">¿Qué hace `replace: true`?</t>
  </si>
  <si>
    <t xml:space="preserve">const navigate = useNavigate();
async function onSubmit() {
  await save();
  navigate('/orders', { replace: true });
}</t>
  </si>
  <si>
    <t xml:space="preserve">Sustituye la entrada actual del historial: el botón atrás no vuelve al formulario</t>
  </si>
  <si>
    <t xml:space="preserve">Recarga la página</t>
  </si>
  <si>
    <t xml:space="preserve">Borra el formulario</t>
  </si>
  <si>
    <t xml:space="preserve">Abre una pestaña nueva</t>
  </si>
  <si>
    <t xml:space="preserve">Útil tras enviar un formulario o tras el login.</t>
  </si>
  <si>
    <t xml:space="preserve">rea-routing-S1</t>
  </si>
  <si>
    <t xml:space="preserve">¿Qué diferencia hay entre SSR, SSG e ISR?</t>
  </si>
  <si>
    <t xml:space="preserve">SSR genera el HTML en cada petición; SSG en el build; ISR regenera páginas estáticas cada cierto tiempo o bajo demanda</t>
  </si>
  <si>
    <t xml:space="preserve">SSG es solo para APIs</t>
  </si>
  <si>
    <t xml:space="preserve">ISR elimina el servidor</t>
  </si>
  <si>
    <t xml:space="preserve">Se elige según lo dinámicos que sean los datos.</t>
  </si>
  <si>
    <t xml:space="preserve">rea-routing-S2</t>
  </si>
  <si>
    <t xml:space="preserve">¿Qué ventaja tiene un monorepo (Nx, Turborepo) para varios frontends?</t>
  </si>
  <si>
    <t xml:space="preserve">Compartir código y configuración, cambios atómicos entre paquetes y builds incrementales</t>
  </si>
  <si>
    <t xml:space="preserve">Despliegues más lentos</t>
  </si>
  <si>
    <t xml:space="preserve">Elimina la necesidad de tests</t>
  </si>
  <si>
    <t xml:space="preserve">Obliga a usar un solo framework</t>
  </si>
  <si>
    <t xml:space="preserve">A cambio exige buenas herramientas y reglas de dependencias.</t>
  </si>
  <si>
    <t xml:space="preserve">rea-routing-S3</t>
  </si>
  <si>
    <t xml:space="preserve">¿Qué es un design system y por qué ayuda?</t>
  </si>
  <si>
    <t xml:space="preserve">Un conjunto de componentes, tokens y reglas compartidas que hace la UI consistente y acelera el desarrollo</t>
  </si>
  <si>
    <t xml:space="preserve">Un tipo de base de datos</t>
  </si>
  <si>
    <t xml:space="preserve">Un framework de testing</t>
  </si>
  <si>
    <t xml:space="preserve">Una librería de estado</t>
  </si>
  <si>
    <t xml:space="preserve">Suele vivir en su propio paquete con Storybook y tests visuales.</t>
  </si>
  <si>
    <t xml:space="preserve">rea-routing-S4</t>
  </si>
  <si>
    <t xml:space="preserve">¿Qué es `&lt;Outlet /&gt;`?</t>
  </si>
  <si>
    <t xml:space="preserve">function RequireAuth() {
  const { user } = useAuth();
  return user ? &lt;Outlet /&gt; : &lt;Navigate to="/login" replace /&gt;;
}</t>
  </si>
  <si>
    <t xml:space="preserve">Donde se pintan las rutas hijas anidadas dentro de esta ruta</t>
  </si>
  <si>
    <t xml:space="preserve">Un componente de error</t>
  </si>
  <si>
    <t xml:space="preserve">Un enlace</t>
  </si>
  <si>
    <t xml:space="preserve">Un portal fuera del árbol</t>
  </si>
  <si>
    <t xml:space="preserve">Así un componente de layout o de protección envuelve a todas sus rutas hijas.</t>
  </si>
  <si>
    <t xml:space="preserve">rea-testing-J1</t>
  </si>
  <si>
    <t xml:space="preserve">¿Qué filosofía sigue React Testing Library?</t>
  </si>
  <si>
    <t xml:space="preserve">Testear como lo usaría un usuario: buscar por texto o rol y simular interacciones</t>
  </si>
  <si>
    <t xml:space="preserve">Testear el estado interno y los métodos privados</t>
  </si>
  <si>
    <t xml:space="preserve">Hacer snapshots de todo</t>
  </si>
  <si>
    <t xml:space="preserve">Testear solo el CSS</t>
  </si>
  <si>
    <t xml:space="preserve">Cuanto más se parezca el test al uso real, más confianza da.</t>
  </si>
  <si>
    <t xml:space="preserve">rea-testing-J2</t>
  </si>
  <si>
    <t xml:space="preserve">Para buscar un botón accesible por su rol se usa screen.___('button', { name: /guardar/i }).</t>
  </si>
  <si>
    <t xml:space="preserve">getByRole</t>
  </si>
  <si>
    <t xml:space="preserve">getByClass</t>
  </si>
  <si>
    <t xml:space="preserve">querySelector</t>
  </si>
  <si>
    <t xml:space="preserve">findByCss</t>
  </si>
  <si>
    <t xml:space="preserve">getByRole es la consulta preferida porque además comprueba accesibilidad.</t>
  </si>
  <si>
    <t xml:space="preserve">rea-testing-J3</t>
  </si>
  <si>
    <t xml:space="preserve">¿Qué herramientas se usan habitualmente para tests unitarios en React?</t>
  </si>
  <si>
    <t xml:space="preserve">Jest o Vitest con React Testing Library</t>
  </si>
  <si>
    <t xml:space="preserve">Selenium y JUnit</t>
  </si>
  <si>
    <t xml:space="preserve">Postman</t>
  </si>
  <si>
    <t xml:space="preserve">Webpack</t>
  </si>
  <si>
    <t xml:space="preserve">Para E2E: Playwright o Cypress.</t>
  </si>
  <si>
    <t xml:space="preserve">rea-testing-J4</t>
  </si>
  <si>
    <t xml:space="preserve">¿Qué comprueba este test?</t>
  </si>
  <si>
    <t xml:space="preserve">render(&lt;Counter /&gt;);
await userEvent.click(screen.getByRole('button', { name: /sumar/i }));
expect(screen.getByText('1')).toBeInTheDocument();</t>
  </si>
  <si>
    <t xml:space="preserve">Que tras pulsar el botón «Sumar» aparece el texto 1, como lo vería un usuario</t>
  </si>
  <si>
    <t xml:space="preserve">Que existe una función sumar</t>
  </si>
  <si>
    <t xml:space="preserve">El estado interno del componente</t>
  </si>
  <si>
    <t xml:space="preserve">Los estilos del botón</t>
  </si>
  <si>
    <t xml:space="preserve">Testing Library busca por rol y texto, igual que una persona.</t>
  </si>
  <si>
    <t xml:space="preserve">rea-testing-M1</t>
  </si>
  <si>
    <t xml:space="preserve">¿Diferencia entre getBy, queryBy y findBy?</t>
  </si>
  <si>
    <t xml:space="preserve">getBy lanza error si no existe; queryBy devuelve null; findBy espera de forma asíncrona</t>
  </si>
  <si>
    <t xml:space="preserve">Son iguales</t>
  </si>
  <si>
    <t xml:space="preserve">findBy es síncrono</t>
  </si>
  <si>
    <t xml:space="preserve">queryBy lanza error</t>
  </si>
  <si>
    <t xml:space="preserve">queryBy sirve para comprobar que algo NO está; findBy para lo que aparece tras una petición.</t>
  </si>
  <si>
    <t xml:space="preserve">rea-testing-M2</t>
  </si>
  <si>
    <t xml:space="preserve">¿Cómo simulas las peticiones HTTP en los tests de forma realista?</t>
  </si>
  <si>
    <t xml:space="preserve">Con MSW (Mock Service Worker), interceptando las peticiones de red</t>
  </si>
  <si>
    <t xml:space="preserve">Llamando a la API real</t>
  </si>
  <si>
    <t xml:space="preserve">Borrando fetch</t>
  </si>
  <si>
    <t xml:space="preserve">Con setTimeout</t>
  </si>
  <si>
    <t xml:space="preserve">MSW permite reutilizar los mismos mocks en tests y en desarrollo.</t>
  </si>
  <si>
    <t xml:space="preserve">rea-testing-M3</t>
  </si>
  <si>
    <t xml:space="preserve">¿Por qué se prefiere `userEvent` frente a `fireEvent`?</t>
  </si>
  <si>
    <t xml:space="preserve">Simula interacciones completas como un usuario real (foco, teclado, clics) en vez de disparar un único evento</t>
  </si>
  <si>
    <t xml:space="preserve">fireEvent está prohibido</t>
  </si>
  <si>
    <t xml:space="preserve">Por ejemplo, userEvent.type escribe letra a letra disparando todos los eventos.</t>
  </si>
  <si>
    <t xml:space="preserve">rea-testing-M4</t>
  </si>
  <si>
    <t xml:space="preserve">¿Por qué `findByText` y no `getByText`?</t>
  </si>
  <si>
    <t xml:space="preserve">render(&lt;UserList /&gt;);
expect(await screen.findByText('Ana')).toBeInTheDocument();</t>
  </si>
  <si>
    <t xml:space="preserve">Los usuarios llegan de forma asíncrona; findBy espera hasta que aparecen (o falla por timeout)</t>
  </si>
  <si>
    <t xml:space="preserve">getByText no existe</t>
  </si>
  <si>
    <t xml:space="preserve">findBy no lanza errores</t>
  </si>
  <si>
    <t xml:space="preserve">getBy es síncrono; queryBy devuelve null si no existe.</t>
  </si>
  <si>
    <t xml:space="preserve">rea-testing-S1</t>
  </si>
  <si>
    <t xml:space="preserve">¿Qué problema tienen los tests de snapshot grandes?</t>
  </si>
  <si>
    <t xml:space="preserve">Se actualizan sin revisarlos y acaban sin detectar nada útil</t>
  </si>
  <si>
    <t xml:space="preserve">Son demasiado lentos siempre</t>
  </si>
  <si>
    <t xml:space="preserve">No funcionan con TypeScript</t>
  </si>
  <si>
    <t xml:space="preserve">Mejor snapshots pequeños y concretos, o aserciones explícitas.</t>
  </si>
  <si>
    <t xml:space="preserve">rea-testing-S2</t>
  </si>
  <si>
    <t xml:space="preserve">¿Qué son los tests de regresión visual?</t>
  </si>
  <si>
    <t xml:space="preserve">Comparar capturas de pantalla de componentes entre versiones para detectar cambios visuales no deseados</t>
  </si>
  <si>
    <t xml:space="preserve">Tests de rendimiento</t>
  </si>
  <si>
    <t xml:space="preserve">Tests de accesibilidad</t>
  </si>
  <si>
    <t xml:space="preserve">Tests de carga</t>
  </si>
  <si>
    <t xml:space="preserve">Herramientas como Chromatic o Playwright lo automatizan.</t>
  </si>
  <si>
    <t xml:space="preserve">rea-testing-S3</t>
  </si>
  <si>
    <t xml:space="preserve">¿Qué es el 'testing trophy' de Kent C. Dodds?</t>
  </si>
  <si>
    <t xml:space="preserve">Una propuesta que da más peso a los tests de integración, con análisis estático en la base</t>
  </si>
  <si>
    <t xml:space="preserve">Un premio de testing</t>
  </si>
  <si>
    <t xml:space="preserve">Una herramienta de cobertura</t>
  </si>
  <si>
    <t xml:space="preserve">Un tipo de E2E</t>
  </si>
  <si>
    <t xml:space="preserve">Es una alternativa a la pirámide clásica pensada para frontend.</t>
  </si>
  <si>
    <t xml:space="preserve">rea-testing-S4</t>
  </si>
  <si>
    <t xml:space="preserve">¿Para qué se usa esto en un test?</t>
  </si>
  <si>
    <t xml:space="preserve">server.use(
  http.get('/api/users', () =&gt; HttpResponse.json([], { status: 500 }))
);</t>
  </si>
  <si>
    <t xml:space="preserve">Simular que la API responde con error para probar el estado de error del componente</t>
  </si>
  <si>
    <t xml:space="preserve">Arrancar un servidor real</t>
  </si>
  <si>
    <t xml:space="preserve">Medir el rendimiento</t>
  </si>
  <si>
    <t xml:space="preserve">Borrar los datos de prueba</t>
  </si>
  <si>
    <t xml:space="preserve">MSW intercepta las peticiones de red; `server.use` cambia la respuesta solo en ese test.</t>
  </si>
  <si>
    <t xml:space="preserve">cld-aws-J1</t>
  </si>
  <si>
    <t xml:space="preserve">¿Qué es una Availability Zone?</t>
  </si>
  <si>
    <t xml:space="preserve">Uno o varios centros de datos aislados dentro de una región</t>
  </si>
  <si>
    <t xml:space="preserve">Un país donde AWS tiene clientes</t>
  </si>
  <si>
    <t xml:space="preserve">Un tipo de instancia EC2</t>
  </si>
  <si>
    <t xml:space="preserve">Una cuenta de AWS</t>
  </si>
  <si>
    <t xml:space="preserve">Una región tiene varias AZ. Repartir recursos entre AZ da alta disponibilidad.</t>
  </si>
  <si>
    <t xml:space="preserve">cld-aws-J2</t>
  </si>
  <si>
    <t xml:space="preserve">¿Qué servicio usarías para guardar archivos como imágenes o backups?</t>
  </si>
  <si>
    <t xml:space="preserve">Amazon S3</t>
  </si>
  <si>
    <t xml:space="preserve">Amazon EC2</t>
  </si>
  <si>
    <t xml:space="preserve">Amazon RDS</t>
  </si>
  <si>
    <t xml:space="preserve">AWS Lambda</t>
  </si>
  <si>
    <t xml:space="preserve">S3 es almacenamiento de objetos, muy duradero y barato.</t>
  </si>
  <si>
    <t xml:space="preserve">cld-aws-J3</t>
  </si>
  <si>
    <t xml:space="preserve">En IAM, el principio de mínimo ___ dice que cada identidad debe tener solo los permisos que necesita.</t>
  </si>
  <si>
    <t xml:space="preserve">privilegio</t>
  </si>
  <si>
    <t xml:space="preserve">coste</t>
  </si>
  <si>
    <t xml:space="preserve">acceso root</t>
  </si>
  <si>
    <t xml:space="preserve">riesgo</t>
  </si>
  <si>
    <t xml:space="preserve">Nunca uses la cuenta root para el día a día.</t>
  </si>
  <si>
    <t xml:space="preserve">cld-aws-J4</t>
  </si>
  <si>
    <t xml:space="preserve">¿Qué hace este comando?</t>
  </si>
  <si>
    <t xml:space="preserve">aws s3 cp informe.pdf s3://mis-backups/2026/</t>
  </si>
  <si>
    <t xml:space="preserve">Sube informe.pdf al bucket mis-backups dentro de la carpeta 2026/</t>
  </si>
  <si>
    <t xml:space="preserve">Descarga el archivo</t>
  </si>
  <si>
    <t xml:space="preserve">Crea el bucket</t>
  </si>
  <si>
    <t xml:space="preserve">Borra el archivo local</t>
  </si>
  <si>
    <t xml:space="preserve">Con la ruta S3 como origen y una local como destino, descargaría.</t>
  </si>
  <si>
    <t xml:space="preserve">cld-aws-M1</t>
  </si>
  <si>
    <t xml:space="preserve">¿Diferencia entre un rol de IAM y un usuario de IAM?</t>
  </si>
  <si>
    <t xml:space="preserve">El rol se asume temporalmente y da credenciales temporales; el usuario tiene credenciales permanentes</t>
  </si>
  <si>
    <t xml:space="preserve">Los roles solo son para personas</t>
  </si>
  <si>
    <t xml:space="preserve">Los usuarios no pueden tener políticas</t>
  </si>
  <si>
    <t xml:space="preserve">Para servicios (EC2, Lambda) se usan siempre roles, nunca claves guardadas en el código.</t>
  </si>
  <si>
    <t xml:space="preserve">cld-aws-M2</t>
  </si>
  <si>
    <t xml:space="preserve">¿Qué clase de S3 elegirías para backups que casi nunca se consultan?</t>
  </si>
  <si>
    <t xml:space="preserve">S3 Glacier (Flexible Retrieval o Deep Archive)</t>
  </si>
  <si>
    <t xml:space="preserve">S3 Standard</t>
  </si>
  <si>
    <t xml:space="preserve">S3 Express One Zone</t>
  </si>
  <si>
    <t xml:space="preserve">EBS</t>
  </si>
  <si>
    <t xml:space="preserve">Las clases de archivo son mucho más baratas, a cambio de tiempos de recuperación largos.</t>
  </si>
  <si>
    <t xml:space="preserve">cld-aws-M3</t>
  </si>
  <si>
    <t xml:space="preserve">¿Qué es el modelo de responsabilidad compartida?</t>
  </si>
  <si>
    <t xml:space="preserve">AWS se encarga de la seguridad DE la nube (hardware, infraestructura); el cliente, de la seguridad EN la nube (datos, configuración, accesos)</t>
  </si>
  <si>
    <t xml:space="preserve">AWS se encarga de todo</t>
  </si>
  <si>
    <t xml:space="preserve">El cliente se encarga de todo</t>
  </si>
  <si>
    <t xml:space="preserve">Solo aplica a EC2</t>
  </si>
  <si>
    <t xml:space="preserve">Cuanto más gestionado es el servicio, más responsabilidad asume AWS.</t>
  </si>
  <si>
    <t xml:space="preserve">cld-aws-M4</t>
  </si>
  <si>
    <t xml:space="preserve">¿Qué permite esta política?</t>
  </si>
  <si>
    <t xml:space="preserve">{
  "Effect": "Allow",
  "Action": ["s3:GetObject"],
  "Resource": "arn:aws:s3:::fotos/*"
}</t>
  </si>
  <si>
    <t xml:space="preserve">Leer (descargar) objetos del bucket fotos, nada más</t>
  </si>
  <si>
    <t xml:space="preserve">Todo sobre el bucket fotos</t>
  </si>
  <si>
    <t xml:space="preserve">Borrar objetos</t>
  </si>
  <si>
    <t xml:space="preserve">Listar todos los buckets</t>
  </si>
  <si>
    <t xml:space="preserve">Mínimo privilegio: solo la acción y el recurso necesarios.</t>
  </si>
  <si>
    <t xml:space="preserve">cld-aws-S1</t>
  </si>
  <si>
    <t xml:space="preserve">¿Para qué sirve AWS Organizations con Service Control Policies?</t>
  </si>
  <si>
    <t xml:space="preserve">Para gestionar muchas cuentas de forma centralizada y limitar lo que se puede hacer en cada una</t>
  </si>
  <si>
    <t xml:space="preserve">Para facturar a clientes</t>
  </si>
  <si>
    <t xml:space="preserve">Para crear VPCs</t>
  </si>
  <si>
    <t xml:space="preserve">Para monitorizar logs</t>
  </si>
  <si>
    <t xml:space="preserve">Una estrategia multicuenta (por entorno o equipo) aísla riesgos y costes.</t>
  </si>
  <si>
    <t xml:space="preserve">cld-aws-S2</t>
  </si>
  <si>
    <t xml:space="preserve">¿Qué estrategia ayuda más a reducir costes en cargas estables y predecibles?</t>
  </si>
  <si>
    <t xml:space="preserve">Savings Plans o instancias reservadas</t>
  </si>
  <si>
    <t xml:space="preserve">Instancias Spot para todo</t>
  </si>
  <si>
    <t xml:space="preserve">Subir el tamaño de las instancias</t>
  </si>
  <si>
    <t xml:space="preserve">Desactivar el autoscaling</t>
  </si>
  <si>
    <t xml:space="preserve">Spot es ideal para cargas tolerantes a interrupciones, no para todo.</t>
  </si>
  <si>
    <t xml:space="preserve">cld-aws-S3</t>
  </si>
  <si>
    <t xml:space="preserve">¿Qué son los pilares del Well-Architected Framework?</t>
  </si>
  <si>
    <t xml:space="preserve">Excelencia operativa, seguridad, fiabilidad, eficiencia de rendimiento, optimización de costes y sostenibilidad</t>
  </si>
  <si>
    <t xml:space="preserve">Velocidad, precio y diseño</t>
  </si>
  <si>
    <t xml:space="preserve">Solo seguridad y coste</t>
  </si>
  <si>
    <t xml:space="preserve">EC2, S3, RDS y Lambda</t>
  </si>
  <si>
    <t xml:space="preserve">Son la base para revisar cualquier arquitectura en AWS.</t>
  </si>
  <si>
    <t xml:space="preserve">cld-aws-S4</t>
  </si>
  <si>
    <t xml:space="preserve">¿Qué consigue esta SCP?</t>
  </si>
  <si>
    <t xml:space="preserve">{
  "Effect": "Deny",
  "Action": "*",
  "Resource": "*",
  "Condition": {
    "StringNotEquals": {
      "aws:RequestedRegion": ["eu-west-1", "eu-central-1"]
    }
  }
}</t>
  </si>
  <si>
    <t xml:space="preserve">Bloquea las acciones fuera de Irlanda y Fráncfort en las cuentas afectadas</t>
  </si>
  <si>
    <t xml:space="preserve">Permite todo en esas dos regiones</t>
  </si>
  <si>
    <t xml:space="preserve">Bloquea Irlanda y Fráncfort</t>
  </si>
  <si>
    <t xml:space="preserve">Solo afecta al usuario root</t>
  </si>
  <si>
    <t xml:space="preserve">En la práctica se exceptúan los servicios globales (IAM, CloudFront…) para no romperlos.</t>
  </si>
  <si>
    <t xml:space="preserve">cld-net-J1</t>
  </si>
  <si>
    <t xml:space="preserve">¿Qué es una VPC?</t>
  </si>
  <si>
    <t xml:space="preserve">Una red privada virtual y aislada dentro de AWS donde despliegas tus recursos</t>
  </si>
  <si>
    <t xml:space="preserve">Una VPN para empleados</t>
  </si>
  <si>
    <t xml:space="preserve">Un balanceador</t>
  </si>
  <si>
    <t xml:space="preserve">Dentro creas subredes, tablas de rutas y reglas de seguridad.</t>
  </si>
  <si>
    <t xml:space="preserve">cld-net-J2</t>
  </si>
  <si>
    <t xml:space="preserve">¿Qué diferencia una subred pública de una privada?</t>
  </si>
  <si>
    <t xml:space="preserve">La pública tiene ruta a un Internet Gateway; la privada no tiene acceso directo desde internet</t>
  </si>
  <si>
    <t xml:space="preserve">La pública es más barata</t>
  </si>
  <si>
    <t xml:space="preserve">La privada no puede tener instancias</t>
  </si>
  <si>
    <t xml:space="preserve">Las bases de datos y backends suelen ir en subredes privadas.</t>
  </si>
  <si>
    <t xml:space="preserve">cld-net-J3</t>
  </si>
  <si>
    <t xml:space="preserve">Un ___ es un firewall a nivel de instancia que controla el tráfico de entrada y salida.</t>
  </si>
  <si>
    <t xml:space="preserve">Security Group</t>
  </si>
  <si>
    <t xml:space="preserve">Internet Gateway</t>
  </si>
  <si>
    <t xml:space="preserve">Route Table</t>
  </si>
  <si>
    <t xml:space="preserve">Load Balancer</t>
  </si>
  <si>
    <t xml:space="preserve">Los Security Groups son stateful: si permites la entrada, la respuesta sale automáticamente.</t>
  </si>
  <si>
    <t xml:space="preserve">cld-net-J4</t>
  </si>
  <si>
    <t xml:space="preserve">¿Cuántas direcciones IP tiene este rango?</t>
  </si>
  <si>
    <t xml:space="preserve">10.0.0.0/16</t>
  </si>
  <si>
    <t xml:space="preserve">65.536</t>
  </si>
  <si>
    <t xml:space="preserve">256</t>
  </si>
  <si>
    <t xml:space="preserve">16</t>
  </si>
  <si>
    <t xml:space="preserve">4.096</t>
  </si>
  <si>
    <t xml:space="preserve">/16 deja 16 bits para hosts: 2^16. AWS reserva 5 direcciones en cada subred.</t>
  </si>
  <si>
    <t xml:space="preserve">cld-net-M1</t>
  </si>
  <si>
    <t xml:space="preserve">¿Para qué sirve un NAT Gateway?</t>
  </si>
  <si>
    <t xml:space="preserve">Para que recursos en subredes privadas salgan a internet (p. ej. actualizaciones) sin ser accesibles desde fuera</t>
  </si>
  <si>
    <t xml:space="preserve">Para recibir tráfico de internet</t>
  </si>
  <si>
    <t xml:space="preserve">Para conectar dos regiones</t>
  </si>
  <si>
    <t xml:space="preserve">Para balancear carga</t>
  </si>
  <si>
    <t xml:space="preserve">Ojo: tiene coste por hora y por GB procesado.</t>
  </si>
  <si>
    <t xml:space="preserve">cld-net-M2</t>
  </si>
  <si>
    <t xml:space="preserve">¿Diferencia entre Security Group y Network ACL?</t>
  </si>
  <si>
    <t xml:space="preserve">El SG actúa a nivel de instancia y es stateful; la NACL actúa a nivel de subred y es stateless</t>
  </si>
  <si>
    <t xml:space="preserve">La NACL es a nivel de instancia</t>
  </si>
  <si>
    <t xml:space="preserve">El SG es stateless</t>
  </si>
  <si>
    <t xml:space="preserve">En la NACL hay que permitir explícitamente también el tráfico de vuelta.</t>
  </si>
  <si>
    <t xml:space="preserve">cld-net-M3</t>
  </si>
  <si>
    <t xml:space="preserve">¿Qué balanceador elegirías para enrutar por ruta HTTP (/api, /web)?</t>
  </si>
  <si>
    <t xml:space="preserve">Application Load Balancer</t>
  </si>
  <si>
    <t xml:space="preserve">Network Load Balancer</t>
  </si>
  <si>
    <t xml:space="preserve">Gateway Load Balancer</t>
  </si>
  <si>
    <t xml:space="preserve">Classic Load Balancer</t>
  </si>
  <si>
    <t xml:space="preserve">El ALB trabaja en capa 7; el NLB en capa 4 con latencia ultrabaja.</t>
  </si>
  <si>
    <t xml:space="preserve">cld-net-M4</t>
  </si>
  <si>
    <t xml:space="preserve">¿Qué permite esta regla de entrada del security group de la base de datos?</t>
  </si>
  <si>
    <t xml:space="preserve">Inbound:  TCP 5432   Source: sg-app</t>
  </si>
  <si>
    <t xml:space="preserve">Que solo los recursos con el security group sg-app se conecten a PostgreSQL</t>
  </si>
  <si>
    <t xml:space="preserve">Que cualquiera se conecte al 5432</t>
  </si>
  <si>
    <t xml:space="preserve">Que la base de datos salga a internet</t>
  </si>
  <si>
    <t xml:space="preserve">Nada: falta la IP</t>
  </si>
  <si>
    <t xml:space="preserve">Referenciar security groups en lugar de IPs es más seguro y se adapta al escalado.</t>
  </si>
  <si>
    <t xml:space="preserve">cld-net-S1</t>
  </si>
  <si>
    <t xml:space="preserve">¿Qué solución conecta muchas VPCs y redes on-premise de forma centralizada?</t>
  </si>
  <si>
    <t xml:space="preserve">AWS Transit Gateway</t>
  </si>
  <si>
    <t xml:space="preserve">VPC Peering entre todas</t>
  </si>
  <si>
    <t xml:space="preserve">Un NAT Gateway</t>
  </si>
  <si>
    <t xml:space="preserve">CloudFront</t>
  </si>
  <si>
    <t xml:space="preserve">El peering no es transitivo: con muchas VPCs se vuelve inmanejable.</t>
  </si>
  <si>
    <t xml:space="preserve">cld-net-S2</t>
  </si>
  <si>
    <t xml:space="preserve">¿Qué ventaja tienen los VPC endpoints?</t>
  </si>
  <si>
    <t xml:space="preserve">Acceder a servicios de AWS desde subredes privadas sin salir a internet ni pasar por NAT</t>
  </si>
  <si>
    <t xml:space="preserve">Aumentan el ancho de banda de internet</t>
  </si>
  <si>
    <t xml:space="preserve">Sustituyen a los Security Groups</t>
  </si>
  <si>
    <t xml:space="preserve">Son obligatorios</t>
  </si>
  <si>
    <t xml:space="preserve">Mejoran la seguridad y pueden ahorrar coste de NAT.</t>
  </si>
  <si>
    <t xml:space="preserve">cld-net-S3</t>
  </si>
  <si>
    <t xml:space="preserve">¿Cuándo usarías Direct Connect en lugar de una VPN Site-to-Site?</t>
  </si>
  <si>
    <t xml:space="preserve">Cuando necesitas una conexión dedicada con ancho de banda y latencia más estables</t>
  </si>
  <si>
    <t xml:space="preserve">Siempre, es más barato</t>
  </si>
  <si>
    <t xml:space="preserve">Para conectar dos VPCs</t>
  </si>
  <si>
    <t xml:space="preserve">Para usuarios remotos</t>
  </si>
  <si>
    <t xml:space="preserve">La VPN es rápida de montar; Direct Connect tarda semanas pero es más estable.</t>
  </si>
  <si>
    <t xml:space="preserve">cld-net-S4</t>
  </si>
  <si>
    <t xml:space="preserve">Con esta tabla de rutas, ¿qué tipo de subred es?</t>
  </si>
  <si>
    <t xml:space="preserve">Destino        Target
10.0.0.0/16    local
0.0.0.0/0      nat-0abc123</t>
  </si>
  <si>
    <t xml:space="preserve">Privada, con salida a internet a través de un NAT gateway</t>
  </si>
  <si>
    <t xml:space="preserve">Pública</t>
  </si>
  <si>
    <t xml:space="preserve">Aislada sin salida</t>
  </si>
  <si>
    <t xml:space="preserve">Una subred de VPN</t>
  </si>
  <si>
    <t xml:space="preserve">Una pública tendría la ruta 0.0.0.0/0 hacia un Internet Gateway (igw-…).</t>
  </si>
  <si>
    <t xml:space="preserve">cld-containers-J1</t>
  </si>
  <si>
    <t xml:space="preserve">¿Qué es un contenedor?</t>
  </si>
  <si>
    <t xml:space="preserve">Un paquete con la aplicación y sus dependencias que se ejecuta aislado compartiendo el kernel del sistema</t>
  </si>
  <si>
    <t xml:space="preserve">Una máquina virtual completa</t>
  </si>
  <si>
    <t xml:space="preserve">Un servidor físico</t>
  </si>
  <si>
    <t xml:space="preserve">Un lenguaje de programación</t>
  </si>
  <si>
    <t xml:space="preserve">Es más ligero que una VM porque no incluye un sistema operativo completo.</t>
  </si>
  <si>
    <t xml:space="preserve">cld-containers-J2</t>
  </si>
  <si>
    <t xml:space="preserve">Las instrucciones para construir una imagen de Docker se escriben en un ___.</t>
  </si>
  <si>
    <t xml:space="preserve">Dockerfile</t>
  </si>
  <si>
    <t xml:space="preserve">docker-compose.yml</t>
  </si>
  <si>
    <t xml:space="preserve">package.json</t>
  </si>
  <si>
    <t xml:space="preserve">Makefile</t>
  </si>
  <si>
    <t xml:space="preserve">docker build lo lee y genera la imagen.</t>
  </si>
  <si>
    <t xml:space="preserve">cld-containers-J3</t>
  </si>
  <si>
    <t xml:space="preserve">¿Diferencia entre imagen y contenedor?</t>
  </si>
  <si>
    <t xml:space="preserve">La imagen es la plantilla inmutable; el contenedor es una instancia en ejecución de esa imagen</t>
  </si>
  <si>
    <t xml:space="preserve">El contenedor es la plantilla</t>
  </si>
  <si>
    <t xml:space="preserve">La imagen solo existe en producción</t>
  </si>
  <si>
    <t xml:space="preserve">Como una clase (imagen) y sus objetos (contenedores).</t>
  </si>
  <si>
    <t xml:space="preserve">cld-containers-J4</t>
  </si>
  <si>
    <t xml:space="preserve">¿Qué hace `CMD`?</t>
  </si>
  <si>
    <t xml:space="preserve">FROM node:22-alpine
WORKDIR /app
COPY . .
RUN npm ci
CMD ["node", "server.js"]</t>
  </si>
  <si>
    <t xml:space="preserve">Define el comando que se ejecuta al arrancar el contenedor</t>
  </si>
  <si>
    <t xml:space="preserve">Ejecuta un comando al construir la imagen</t>
  </si>
  <si>
    <t xml:space="preserve">Copia archivos</t>
  </si>
  <si>
    <t xml:space="preserve">Expone un puerto</t>
  </si>
  <si>
    <t xml:space="preserve">`RUN` se ejecuta al construir; `CMD` al arrancar.</t>
  </si>
  <si>
    <t xml:space="preserve">cld-containers-M1</t>
  </si>
  <si>
    <t xml:space="preserve">¿Qué ventaja tiene un build multi-stage en Docker?</t>
  </si>
  <si>
    <t xml:space="preserve">Imágenes finales más pequeñas y seguras, sin herramientas de compilación</t>
  </si>
  <si>
    <t xml:space="preserve">Builds más lentos pero más bonitos</t>
  </si>
  <si>
    <t xml:space="preserve">Permite usar varios Dockerfiles</t>
  </si>
  <si>
    <t xml:space="preserve">Compilas en una etapa y copias solo el resultado a una imagen base mínima.</t>
  </si>
  <si>
    <t xml:space="preserve">cld-containers-M2</t>
  </si>
  <si>
    <t xml:space="preserve">En Kubernetes, ¿qué es un Deployment?</t>
  </si>
  <si>
    <t xml:space="preserve">Un objeto que mantiene un número de réplicas de pods y gestiona sus actualizaciones</t>
  </si>
  <si>
    <t xml:space="preserve">Una imagen de Docker</t>
  </si>
  <si>
    <t xml:space="preserve">Un balanceador externo</t>
  </si>
  <si>
    <t xml:space="preserve">Si un pod muere, el Deployment crea otro.</t>
  </si>
  <si>
    <t xml:space="preserve">cld-containers-M3</t>
  </si>
  <si>
    <t xml:space="preserve">¿Qué hace un Service de Kubernetes?</t>
  </si>
  <si>
    <t xml:space="preserve">Da una dirección estable para acceder a un grupo de pods y reparte el tráfico entre ellos</t>
  </si>
  <si>
    <t xml:space="preserve">Construye imágenes</t>
  </si>
  <si>
    <t xml:space="preserve">Guarda secretos</t>
  </si>
  <si>
    <t xml:space="preserve">Escala los nodos</t>
  </si>
  <si>
    <t xml:space="preserve">Los pods cambian de IP; el Service no.</t>
  </si>
  <si>
    <t xml:space="preserve">cld-containers-M4</t>
  </si>
  <si>
    <t xml:space="preserve">kubectl scale deployment api --replicas=5</t>
  </si>
  <si>
    <t xml:space="preserve">Cambia el Deployment api a 5 pods</t>
  </si>
  <si>
    <t xml:space="preserve">Crea 5 Deployments</t>
  </si>
  <si>
    <t xml:space="preserve">Escala los nodos del clúster</t>
  </si>
  <si>
    <t xml:space="preserve">Reinicia api 5 veces</t>
  </si>
  <si>
    <t xml:space="preserve">Para automatizarlo según carga se usa un HorizontalPodAutoscaler.</t>
  </si>
  <si>
    <t xml:space="preserve">cld-containers-S1</t>
  </si>
  <si>
    <t xml:space="preserve">¿Qué hacen las readiness y liveness probes?</t>
  </si>
  <si>
    <t xml:space="preserve">Readiness indica si el pod puede recibir tráfico; liveness, si hay que reiniciarlo</t>
  </si>
  <si>
    <t xml:space="preserve">Miden el coste</t>
  </si>
  <si>
    <t xml:space="preserve">Solo sirven en desarrollo</t>
  </si>
  <si>
    <t xml:space="preserve">Una liveness mal configurada puede provocar reinicios en cadena.</t>
  </si>
  <si>
    <t xml:space="preserve">cld-containers-S2</t>
  </si>
  <si>
    <t xml:space="preserve">¿Para qué sirve el Horizontal Pod Autoscaler?</t>
  </si>
  <si>
    <t xml:space="preserve">Para aumentar o reducir el número de pods según métricas como CPU o métricas propias</t>
  </si>
  <si>
    <t xml:space="preserve">Para añadir CPU a un pod</t>
  </si>
  <si>
    <t xml:space="preserve">Para crear nodos nuevos directamente</t>
  </si>
  <si>
    <t xml:space="preserve">Para hacer backups</t>
  </si>
  <si>
    <t xml:space="preserve">Para escalar nodos se usa Cluster Autoscaler o Karpenter.</t>
  </si>
  <si>
    <t xml:space="preserve">cld-containers-S3</t>
  </si>
  <si>
    <t xml:space="preserve">¿Cómo gestionarías secretos en Kubernetes en AWS de forma segura?</t>
  </si>
  <si>
    <t xml:space="preserve">Guardarlos en Secrets Manager o Parameter Store y sincronizarlos (p. ej. External Secrets) con permisos por pod</t>
  </si>
  <si>
    <t xml:space="preserve">En variables de entorno dentro de la imagen</t>
  </si>
  <si>
    <t xml:space="preserve">En el repositorio cifrados en base64</t>
  </si>
  <si>
    <t xml:space="preserve">En un ConfigMap</t>
  </si>
  <si>
    <t xml:space="preserve">Base64 no es cifrado. IRSA o Pod Identity dan permisos de IAM por pod.</t>
  </si>
  <si>
    <t xml:space="preserve">cld-containers-S4</t>
  </si>
  <si>
    <t xml:space="preserve">Si `/health` empieza a fallar, ¿qué pasa?</t>
  </si>
  <si>
    <t xml:space="preserve">readinessProbe:
  httpGet:
    path: /health
    port: 8080
  periodSeconds: 5</t>
  </si>
  <si>
    <t xml:space="preserve">El pod deja de recibir tráfico del Service, pero no se reinicia</t>
  </si>
  <si>
    <t xml:space="preserve">El pod se reinicia</t>
  </si>
  <si>
    <t xml:space="preserve">Se borra el Deployment</t>
  </si>
  <si>
    <t xml:space="preserve">Es una readinessProbe. La que reinicia el contenedor es la livenessProbe.</t>
  </si>
  <si>
    <t xml:space="preserve">cld-cicd-J1</t>
  </si>
  <si>
    <t xml:space="preserve">¿Qué es CI (integración continua)?</t>
  </si>
  <si>
    <t xml:space="preserve">Integrar cambios con frecuencia y validarlos automáticamente con build y tests</t>
  </si>
  <si>
    <t xml:space="preserve">Desplegar a mano los viernes</t>
  </si>
  <si>
    <t xml:space="preserve">Un tipo de servidor</t>
  </si>
  <si>
    <t xml:space="preserve">Una metodología de diseño</t>
  </si>
  <si>
    <t xml:space="preserve">CD (entrega o despliegue continuo) lleva esos cambios hasta los entornos.</t>
  </si>
  <si>
    <t xml:space="preserve">cld-cicd-J2</t>
  </si>
  <si>
    <t xml:space="preserve">¿Qué es la infraestructura como código (IaC)?</t>
  </si>
  <si>
    <t xml:space="preserve">Definir la infraestructura en archivos versionados y crearla de forma automática</t>
  </si>
  <si>
    <t xml:space="preserve">Programar dentro de los servidores</t>
  </si>
  <si>
    <t xml:space="preserve">Documentar la infraestructura en Word</t>
  </si>
  <si>
    <t xml:space="preserve">Usar solo la consola web</t>
  </si>
  <si>
    <t xml:space="preserve">Herramientas: Terraform, CloudFormation, CDK.</t>
  </si>
  <si>
    <t xml:space="preserve">cld-cicd-J3</t>
  </si>
  <si>
    <t xml:space="preserve">En Terraform, el comando que muestra qué cambios se van a aplicar sin aplicarlos es terraform ___.</t>
  </si>
  <si>
    <t xml:space="preserve">plan</t>
  </si>
  <si>
    <t xml:space="preserve">apply</t>
  </si>
  <si>
    <t xml:space="preserve">init</t>
  </si>
  <si>
    <t xml:space="preserve">show</t>
  </si>
  <si>
    <t xml:space="preserve">init prepara, plan previsualiza y apply ejecuta.</t>
  </si>
  <si>
    <t xml:space="preserve">cld-cicd-J4</t>
  </si>
  <si>
    <t xml:space="preserve">¿Cuándo se ejecuta este workflow?</t>
  </si>
  <si>
    <t xml:space="preserve">on:
  pull_request:
    branches: [main]</t>
  </si>
  <si>
    <t xml:space="preserve">Cuando se abre o actualiza una pull request hacia main</t>
  </si>
  <si>
    <t xml:space="preserve">Con cada push a cualquier rama</t>
  </si>
  <si>
    <t xml:space="preserve">Una vez al día</t>
  </si>
  <si>
    <t xml:space="preserve">Solo manualmente</t>
  </si>
  <si>
    <t xml:space="preserve">Para ejecutarlo al hacer push a main sería `on: push: branches: [main]`.</t>
  </si>
  <si>
    <t xml:space="preserve">cld-cicd-M1</t>
  </si>
  <si>
    <t xml:space="preserve">¿Qué es el state de Terraform y dónde guardarlo en equipo?</t>
  </si>
  <si>
    <t xml:space="preserve">El registro de lo que Terraform gestiona; se guarda en un backend remoto (S3) con bloqueo</t>
  </si>
  <si>
    <t xml:space="preserve">Una variable de entorno</t>
  </si>
  <si>
    <t xml:space="preserve">Se guarda en el repositorio sin problema</t>
  </si>
  <si>
    <t xml:space="preserve">No hace falta guardarlo</t>
  </si>
  <si>
    <t xml:space="preserve">Sin bloqueo, dos personas pueden aplicar a la vez y corromperlo. El state puede contener secretos.</t>
  </si>
  <si>
    <t xml:space="preserve">cld-cicd-M2</t>
  </si>
  <si>
    <t xml:space="preserve">¿Qué es el 'drift' en infraestructura?</t>
  </si>
  <si>
    <t xml:space="preserve">Diferencias entre lo definido en código y lo que existe realmente, por cambios manuales</t>
  </si>
  <si>
    <t xml:space="preserve">Un tipo de despliegue</t>
  </si>
  <si>
    <t xml:space="preserve">Un error de red</t>
  </si>
  <si>
    <t xml:space="preserve">La latencia entre regiones</t>
  </si>
  <si>
    <t xml:space="preserve">Se detecta con terraform plan periódicos o detección de drift de CloudFormation.</t>
  </si>
  <si>
    <t xml:space="preserve">cld-cicd-M3</t>
  </si>
  <si>
    <t xml:space="preserve">¿Cómo se autentica de forma segura un pipeline de GitHub Actions en AWS?</t>
  </si>
  <si>
    <t xml:space="preserve">Con OIDC asumiendo un rol de IAM, sin claves de larga duración</t>
  </si>
  <si>
    <t xml:space="preserve">Con las claves del usuario root</t>
  </si>
  <si>
    <t xml:space="preserve">Con claves de acceso guardadas en el código</t>
  </si>
  <si>
    <t xml:space="preserve">No necesita autenticarse</t>
  </si>
  <si>
    <t xml:space="preserve">OIDC da credenciales temporales por ejecución.</t>
  </si>
  <si>
    <t xml:space="preserve">cld-cicd-M4</t>
  </si>
  <si>
    <t xml:space="preserve">Cambias el nombre del bucket y ejecutas `terraform plan`. ¿Qué esperas ver?</t>
  </si>
  <si>
    <t xml:space="preserve">resource "aws_s3_bucket" "logs" {
  bucket = "mi-empresa-logs"
}</t>
  </si>
  <si>
    <t xml:space="preserve">Que va a destruir y recrear el bucket, porque el nombre no se puede cambiar in situ</t>
  </si>
  <si>
    <t xml:space="preserve">Un cambio de nombre sin más</t>
  </si>
  <si>
    <t xml:space="preserve">Un error de sintaxis</t>
  </si>
  <si>
    <t xml:space="preserve">Revisa siempre el plan: un «replace» en un recurso con datos puede hacer daño.</t>
  </si>
  <si>
    <t xml:space="preserve">cld-cicd-S1</t>
  </si>
  <si>
    <t xml:space="preserve">¿Qué es GitOps?</t>
  </si>
  <si>
    <t xml:space="preserve">Usar Git como fuente de verdad del estado deseado; un agente (Argo CD, Flux) sincroniza el clúster con el repositorio</t>
  </si>
  <si>
    <t xml:space="preserve">Hacer commits directamente en producción</t>
  </si>
  <si>
    <t xml:space="preserve">Una herramienta de Git</t>
  </si>
  <si>
    <t xml:space="preserve">Un tipo de rama</t>
  </si>
  <si>
    <t xml:space="preserve">Cada cambio queda auditado y revertir es hacer revert.</t>
  </si>
  <si>
    <t xml:space="preserve">cld-cicd-S2</t>
  </si>
  <si>
    <t xml:space="preserve">¿Qué diferencia hay entre despliegue canary y blue/green?</t>
  </si>
  <si>
    <t xml:space="preserve">Canary manda un porcentaje creciente de tráfico a la versión nueva; blue/green cambia todo el tráfico de un entorno completo a otro</t>
  </si>
  <si>
    <t xml:space="preserve">Canary no usa tráfico real</t>
  </si>
  <si>
    <t xml:space="preserve">Blue/green solo sirve para bases de datos</t>
  </si>
  <si>
    <t xml:space="preserve">Ambos permiten revertir rápido; canary limita el impacto de un error.</t>
  </si>
  <si>
    <t xml:space="preserve">cld-cicd-S3</t>
  </si>
  <si>
    <t xml:space="preserve">¿Qué son las métricas DORA?</t>
  </si>
  <si>
    <t xml:space="preserve">Frecuencia de despliegue, lead time de cambios, tasa de fallos en cambios y tiempo de recuperación</t>
  </si>
  <si>
    <t xml:space="preserve">Métricas de coste en AWS</t>
  </si>
  <si>
    <t xml:space="preserve">Indicadores de seguridad de red</t>
  </si>
  <si>
    <t xml:space="preserve">Métricas de uso de CPU</t>
  </si>
  <si>
    <t xml:space="preserve">Miden el rendimiento de la entrega de software de un equipo.</t>
  </si>
  <si>
    <t xml:space="preserve">cld-cicd-S4</t>
  </si>
  <si>
    <t xml:space="preserve">¿Qué consigue esta configuración?</t>
  </si>
  <si>
    <t xml:space="preserve">permissions:
  id-token: write
steps:
  - uses: aws-actions/configure-aws-credentials@v4
    with:
      role-to-assume: arn:aws:iam::123456789012:role/deploy
      aws-region: eu-west-1</t>
  </si>
  <si>
    <t xml:space="preserve">Credenciales temporales de AWS mediante OIDC, sin guardar claves en GitHub</t>
  </si>
  <si>
    <t xml:space="preserve">Guardar la clave de AWS en el repositorio</t>
  </si>
  <si>
    <t xml:space="preserve">Dar acceso root al pipeline</t>
  </si>
  <si>
    <t xml:space="preserve">Desplegar en todas las regiones</t>
  </si>
  <si>
    <t xml:space="preserve">El rol debe tener una política de confianza que limite el repositorio y la rama.</t>
  </si>
  <si>
    <t xml:space="preserve">cld-linux-J1</t>
  </si>
  <si>
    <t xml:space="preserve">¿Qué comando muestra los procesos en ejecución?</t>
  </si>
  <si>
    <t xml:space="preserve">ps (o top / htop)</t>
  </si>
  <si>
    <t xml:space="preserve">ls</t>
  </si>
  <si>
    <t xml:space="preserve">cd</t>
  </si>
  <si>
    <t xml:space="preserve">chmod</t>
  </si>
  <si>
    <t xml:space="preserve">top y htop se actualizan en tiempo real.</t>
  </si>
  <si>
    <t xml:space="preserve">cld-linux-J2</t>
  </si>
  <si>
    <t xml:space="preserve">Para dar permisos de ejecución a un script se usa ___ +x script.sh.</t>
  </si>
  <si>
    <t xml:space="preserve">chown</t>
  </si>
  <si>
    <t xml:space="preserve">sudo</t>
  </si>
  <si>
    <t xml:space="preserve">mv</t>
  </si>
  <si>
    <t xml:space="preserve">chown cambia el propietario; chmod, los permisos.</t>
  </si>
  <si>
    <t xml:space="preserve">cld-linux-J3</t>
  </si>
  <si>
    <t xml:space="preserve">¿Qué hace `tail -f /var/log/app.log`?</t>
  </si>
  <si>
    <t xml:space="preserve">Muestra el final del archivo y sigue mostrando las líneas nuevas en tiempo real</t>
  </si>
  <si>
    <t xml:space="preserve">Borra el log</t>
  </si>
  <si>
    <t xml:space="preserve">Muestra el principio del archivo</t>
  </si>
  <si>
    <t xml:space="preserve">Comprime el log</t>
  </si>
  <si>
    <t xml:space="preserve">Muy útil para seguir logs mientras reproduces un problema.</t>
  </si>
  <si>
    <t xml:space="preserve">cld-linux-J4</t>
  </si>
  <si>
    <t xml:space="preserve">¿Qué permisos da este comando?</t>
  </si>
  <si>
    <t xml:space="preserve">chmod 755 deploy.sh</t>
  </si>
  <si>
    <t xml:space="preserve">Lectura, escritura y ejecución al dueño; lectura y ejecución al grupo y al resto</t>
  </si>
  <si>
    <t xml:space="preserve">Todos los permisos a todos</t>
  </si>
  <si>
    <t xml:space="preserve">Solo ejecución</t>
  </si>
  <si>
    <t xml:space="preserve">Solo lectura</t>
  </si>
  <si>
    <t xml:space="preserve">7 = rwx, 5 = r-x.</t>
  </si>
  <si>
    <t xml:space="preserve">cld-linux-M1</t>
  </si>
  <si>
    <t xml:space="preserve">¿Qué hace `set -euo pipefail` al principio de un script de Bash?</t>
  </si>
  <si>
    <t xml:space="preserve">Hace que el script falle ante errores, variables no definidas y fallos dentro de pipes</t>
  </si>
  <si>
    <t xml:space="preserve">Activa el modo debug</t>
  </si>
  <si>
    <t xml:space="preserve">Hace el script más rápido</t>
  </si>
  <si>
    <t xml:space="preserve">Lo ejecuta como root</t>
  </si>
  <si>
    <t xml:space="preserve">Evita que un script siga adelante tras un fallo silencioso.</t>
  </si>
  <si>
    <t xml:space="preserve">cld-linux-M2</t>
  </si>
  <si>
    <t xml:space="preserve">¿Con qué gestionas un servicio en un Linux moderno?</t>
  </si>
  <si>
    <t xml:space="preserve">systemctl (systemd)</t>
  </si>
  <si>
    <t xml:space="preserve">crontab</t>
  </si>
  <si>
    <t xml:space="preserve">apt</t>
  </si>
  <si>
    <t xml:space="preserve">ssh</t>
  </si>
  <si>
    <t xml:space="preserve">systemctl status/start/restart/enable, y journalctl para sus logs.</t>
  </si>
  <si>
    <t xml:space="preserve">cld-linux-M3</t>
  </si>
  <si>
    <t xml:space="preserve">¿Qué hace `grep -r "ERROR" /var/log | wc -l`?</t>
  </si>
  <si>
    <t xml:space="preserve">Cuenta las líneas que contienen ERROR en los logs, de forma recursiva</t>
  </si>
  <si>
    <t xml:space="preserve">Borra los errores</t>
  </si>
  <si>
    <t xml:space="preserve">Muestra solo el primer error</t>
  </si>
  <si>
    <t xml:space="preserve">Comprime los logs</t>
  </si>
  <si>
    <t xml:space="preserve">Las tuberías encadenan comandos pequeños.</t>
  </si>
  <si>
    <t xml:space="preserve">cld-linux-M4</t>
  </si>
  <si>
    <t xml:space="preserve">¿Qué devuelve?</t>
  </si>
  <si>
    <t xml:space="preserve">grep -c "ERROR" app.log</t>
  </si>
  <si>
    <t xml:space="preserve">El número de líneas que contienen ERROR</t>
  </si>
  <si>
    <t xml:space="preserve">Las líneas con ERROR</t>
  </si>
  <si>
    <t xml:space="preserve">El número de palabras</t>
  </si>
  <si>
    <t xml:space="preserve">Los errores de bash</t>
  </si>
  <si>
    <t xml:space="preserve">`-c` cuenta coincidencias por línea; `-i` ignoraría mayúsculas.</t>
  </si>
  <si>
    <t xml:space="preserve">cld-linux-S1</t>
  </si>
  <si>
    <t xml:space="preserve">¿Qué indica un load average alto con CPU casi ociosa?</t>
  </si>
  <si>
    <t xml:space="preserve">Procesos esperando I/O (disco o red), por ejemplo en estado D</t>
  </si>
  <si>
    <t xml:space="preserve">Que todo va bien</t>
  </si>
  <si>
    <t xml:space="preserve">Que falta CPU</t>
  </si>
  <si>
    <t xml:space="preserve">Que el kernel está desactualizado</t>
  </si>
  <si>
    <t xml:space="preserve">El load average cuenta también procesos bloqueados esperando I/O.</t>
  </si>
  <si>
    <t xml:space="preserve">cld-linux-S2</t>
  </si>
  <si>
    <t xml:space="preserve">¿Qué herramienta usarías para ver qué llamadas al sistema hace un proceso?</t>
  </si>
  <si>
    <t xml:space="preserve">strace</t>
  </si>
  <si>
    <t xml:space="preserve">cat</t>
  </si>
  <si>
    <t xml:space="preserve">uptime</t>
  </si>
  <si>
    <t xml:space="preserve">Útil para depurar procesos que se cuelgan o fallan sin log.</t>
  </si>
  <si>
    <t xml:space="preserve">cld-linux-S3</t>
  </si>
  <si>
    <t xml:space="preserve">¿Por qué preferir herramientas de gestión de configuración o imágenes inmutables a conectarse por SSH a cambiar cosas?</t>
  </si>
  <si>
    <t xml:space="preserve">Cambios reproducibles, auditables y sin servidores 'copo de nieve' distintos entre sí</t>
  </si>
  <si>
    <t xml:space="preserve">Porque SSH es lento</t>
  </si>
  <si>
    <t xml:space="preserve">Porque SSH está prohibido en AWS</t>
  </si>
  <si>
    <t xml:space="preserve">Con SSM Session Manager ni siquiera hace falta abrir el puerto 22.</t>
  </si>
  <si>
    <t xml:space="preserve">cld-linux-S4</t>
  </si>
  <si>
    <t xml:space="preserve">El disco está al 100%. ¿Para qué te sirve este comando?</t>
  </si>
  <si>
    <t xml:space="preserve">du -sh /var/log/* | sort -h | tail</t>
  </si>
  <si>
    <t xml:space="preserve">Ver cuánto ocupa cada elemento de /var/log para encontrar qué llena el disco</t>
  </si>
  <si>
    <t xml:space="preserve">Borrar los logs</t>
  </si>
  <si>
    <t xml:space="preserve">Ver la memoria RAM</t>
  </si>
  <si>
    <t xml:space="preserve">Comprimir /var/log</t>
  </si>
  <si>
    <t xml:space="preserve">`df -h` dice qué disco está lleno; `du` qué lo está llenando.</t>
  </si>
  <si>
    <t xml:space="preserve">cld-obs-J1</t>
  </si>
  <si>
    <t xml:space="preserve">¿Qué servicio de AWS recoge métricas, logs y alarmas?</t>
  </si>
  <si>
    <t xml:space="preserve">Amazon CloudWatch</t>
  </si>
  <si>
    <t xml:space="preserve">AWS IAM</t>
  </si>
  <si>
    <t xml:space="preserve">Amazon Route 53</t>
  </si>
  <si>
    <t xml:space="preserve">CloudTrail, en cambio, registra quién hizo qué llamada a la API.</t>
  </si>
  <si>
    <t xml:space="preserve">cld-obs-J2</t>
  </si>
  <si>
    <t xml:space="preserve">¿Qué son los tres pilares de la observabilidad?</t>
  </si>
  <si>
    <t xml:space="preserve">Logs, métricas y trazas</t>
  </si>
  <si>
    <t xml:space="preserve">CPU, memoria y disco</t>
  </si>
  <si>
    <t xml:space="preserve">Dev, QA y producción</t>
  </si>
  <si>
    <t xml:space="preserve">Alarmas, emails y SMS</t>
  </si>
  <si>
    <t xml:space="preserve">Las trazas siguen una petición a través de varios servicios.</t>
  </si>
  <si>
    <t xml:space="preserve">cld-obs-J3</t>
  </si>
  <si>
    <t xml:space="preserve">Una alarma de CloudWatch puede enviar notificaciones a través de ___.</t>
  </si>
  <si>
    <t xml:space="preserve">SNS</t>
  </si>
  <si>
    <t xml:space="preserve">S3</t>
  </si>
  <si>
    <t xml:space="preserve">VPC</t>
  </si>
  <si>
    <t xml:space="preserve">SNS reparte el aviso por email, SMS, Slack (vía integraciones) o Lambda.</t>
  </si>
  <si>
    <t xml:space="preserve">cld-obs-J4</t>
  </si>
  <si>
    <t xml:space="preserve">¿Cuándo salta esta alarma?</t>
  </si>
  <si>
    <t xml:space="preserve">Métrica: CPUUtilization
Condición: &gt; 80
Periodo: 5 minutos
Periodos de evaluación: 3</t>
  </si>
  <si>
    <t xml:space="preserve">Cuando la CPU supera el 80% durante 15 minutos seguidos</t>
  </si>
  <si>
    <t xml:space="preserve">En cuanto la CPU pasa del 80%</t>
  </si>
  <si>
    <t xml:space="preserve">Cada 5 minutos</t>
  </si>
  <si>
    <t xml:space="preserve">Cuando la CPU baja del 80%</t>
  </si>
  <si>
    <t xml:space="preserve">3 periodos de 5 minutos por encima del umbral.</t>
  </si>
  <si>
    <t xml:space="preserve">cld-obs-M1</t>
  </si>
  <si>
    <t xml:space="preserve">¿Qué diferencia hay entre RTO y RPO?</t>
  </si>
  <si>
    <t xml:space="preserve">RTO es cuánto tiempo puedes estar caído; RPO, cuántos datos puedes permitirte perder (medido en tiempo)</t>
  </si>
  <si>
    <t xml:space="preserve">RTO mide coste y RPO rendimiento</t>
  </si>
  <si>
    <t xml:space="preserve">RPO es el tiempo de despliegue</t>
  </si>
  <si>
    <t xml:space="preserve">Ambos definen qué estrategia de recuperación ante desastres necesitas.</t>
  </si>
  <si>
    <t xml:space="preserve">cld-obs-M2</t>
  </si>
  <si>
    <t xml:space="preserve">¿Qué hace un Auto Scaling Group con health checks del balanceador?</t>
  </si>
  <si>
    <t xml:space="preserve">Sustituye automáticamente las instancias que dejan de estar sanas</t>
  </si>
  <si>
    <t xml:space="preserve">Borra la aplicación</t>
  </si>
  <si>
    <t xml:space="preserve">Solo reduce costes</t>
  </si>
  <si>
    <t xml:space="preserve">Hace backups</t>
  </si>
  <si>
    <t xml:space="preserve">Combinado con varias AZ, da recuperación automática ante fallos.</t>
  </si>
  <si>
    <t xml:space="preserve">cld-obs-M3</t>
  </si>
  <si>
    <t xml:space="preserve">¿Qué es un SLO?</t>
  </si>
  <si>
    <t xml:space="preserve">Un objetivo interno de fiabilidad, por ejemplo 99,9% de peticiones correctas al mes</t>
  </si>
  <si>
    <t xml:space="preserve">Un contrato con penalizaciones</t>
  </si>
  <si>
    <t xml:space="preserve">Un tipo de log</t>
  </si>
  <si>
    <t xml:space="preserve">Una alarma de coste</t>
  </si>
  <si>
    <t xml:space="preserve">El SLA es el compromiso contractual; el SLI, la métrica que se mide.</t>
  </si>
  <si>
    <t xml:space="preserve">cld-obs-M4</t>
  </si>
  <si>
    <t xml:space="preserve">Un SLO del 99,9% mensual (30 días), ¿cuánto tiempo de caída permite?</t>
  </si>
  <si>
    <t xml:space="preserve">Unos 43 minutos</t>
  </si>
  <si>
    <t xml:space="preserve">Unas 7 horas</t>
  </si>
  <si>
    <t xml:space="preserve">Unos 4 minutos</t>
  </si>
  <si>
    <t xml:space="preserve">1 día</t>
  </si>
  <si>
    <t xml:space="preserve">30 × 24 × 60 × 0,001 ≈ 43,2 minutos. Ese margen es el error budget.</t>
  </si>
  <si>
    <t xml:space="preserve">cld-obs-S1</t>
  </si>
  <si>
    <t xml:space="preserve">¿Qué es el error budget?</t>
  </si>
  <si>
    <t xml:space="preserve">El margen de fallos que permite el SLO; si se agota, se prioriza la fiabilidad sobre funcionalidades nuevas</t>
  </si>
  <si>
    <t xml:space="preserve">El presupuesto para comprar servidores</t>
  </si>
  <si>
    <t xml:space="preserve">Un tipo de alarma</t>
  </si>
  <si>
    <t xml:space="preserve">El número de bugs permitidos en QA</t>
  </si>
  <si>
    <t xml:space="preserve">Equilibra la velocidad de desarrollo y la estabilidad.</t>
  </si>
  <si>
    <t xml:space="preserve">cld-obs-S2</t>
  </si>
  <si>
    <t xml:space="preserve">¿Qué estrategia de DR tiene menor RTO?</t>
  </si>
  <si>
    <t xml:space="preserve">Multi-site activo-activo</t>
  </si>
  <si>
    <t xml:space="preserve">Backup and restore</t>
  </si>
  <si>
    <t xml:space="preserve">Pilot light</t>
  </si>
  <si>
    <t xml:space="preserve">Warm standby</t>
  </si>
  <si>
    <t xml:space="preserve">También es la más cara. De más barata a más rápida: backup, pilot light, warm standby, activo-activo.</t>
  </si>
  <si>
    <t xml:space="preserve">cld-obs-S3</t>
  </si>
  <si>
    <t xml:space="preserve">¿Qué es el chaos engineering?</t>
  </si>
  <si>
    <t xml:space="preserve">Introducir fallos controlados para comprobar que el sistema resiste como se espera</t>
  </si>
  <si>
    <t xml:space="preserve">Desplegar sin tests</t>
  </si>
  <si>
    <t xml:space="preserve">Romper producción sin avisar</t>
  </si>
  <si>
    <t xml:space="preserve">Un tipo de monitorización</t>
  </si>
  <si>
    <t xml:space="preserve">AWS Fault Injection Service permite hacerlo de forma controlada.</t>
  </si>
  <si>
    <t xml:space="preserve">cld-obs-S4</t>
  </si>
  <si>
    <t xml:space="preserve">¿Qué hace esta consulta de CloudWatch Logs Insights?</t>
  </si>
  <si>
    <t xml:space="preserve">fields @timestamp, @message
| filter @message like /ERROR/
| stats count() by bin(5m)</t>
  </si>
  <si>
    <t xml:space="preserve">Cuenta los mensajes con ERROR en intervalos de 5 minutos</t>
  </si>
  <si>
    <t xml:space="preserve">Muestra solo el último error</t>
  </si>
  <si>
    <t xml:space="preserve">Crea una alarma</t>
  </si>
  <si>
    <t xml:space="preserve">Útil para ver cuándo empezó un pico de errores.</t>
  </si>
  <si>
    <t xml:space="preserve">bck-java-J1</t>
  </si>
  <si>
    <t xml:space="preserve">¿Diferencia entre `==` y `equals()` con objetos?</t>
  </si>
  <si>
    <t xml:space="preserve">== compara referencias; equals() compara el contenido (si está bien implementado)</t>
  </si>
  <si>
    <t xml:space="preserve">equals() compara referencias</t>
  </si>
  <si>
    <t xml:space="preserve">== solo funciona con Strings</t>
  </si>
  <si>
    <t xml:space="preserve">Clásico con Strings: usa siempre equals().</t>
  </si>
  <si>
    <t xml:space="preserve">bck-java-J2</t>
  </si>
  <si>
    <t xml:space="preserve">¿Qué colección usarías para no tener elementos repetidos?</t>
  </si>
  <si>
    <t xml:space="preserve">Set (por ejemplo HashSet)</t>
  </si>
  <si>
    <t xml:space="preserve">ArrayList</t>
  </si>
  <si>
    <t xml:space="preserve">LinkedList</t>
  </si>
  <si>
    <t xml:space="preserve">Array</t>
  </si>
  <si>
    <t xml:space="preserve">Un Map guarda pares clave-valor con claves únicas.</t>
  </si>
  <si>
    <t xml:space="preserve">bck-java-J3</t>
  </si>
  <si>
    <t xml:space="preserve">Una excepción que el compilador obliga a capturar o declarar es una excepción ___.</t>
  </si>
  <si>
    <t xml:space="preserve">checked</t>
  </si>
  <si>
    <t xml:space="preserve">unchecked</t>
  </si>
  <si>
    <t xml:space="preserve">runtime</t>
  </si>
  <si>
    <t xml:space="preserve">final</t>
  </si>
  <si>
    <t xml:space="preserve">IOException es checked; NullPointerException es unchecked (RuntimeException).</t>
  </si>
  <si>
    <t xml:space="preserve">bck-java-J4</t>
  </si>
  <si>
    <t xml:space="preserve">String a = new String("hola");
String b = new String("hola");
System.out.println(a == b);
System.out.println(a.equals(b));</t>
  </si>
  <si>
    <t xml:space="preserve">false y true</t>
  </si>
  <si>
    <t xml:space="preserve">true y true</t>
  </si>
  <si>
    <t xml:space="preserve">false y false</t>
  </si>
  <si>
    <t xml:space="preserve">true y false</t>
  </si>
  <si>
    <t xml:space="preserve">`==` compara referencias (dos objetos distintos); `equals` compara el contenido.</t>
  </si>
  <si>
    <t xml:space="preserve">bck-java-M1</t>
  </si>
  <si>
    <t xml:space="preserve">Si sobrescribes `equals()`, ¿qué más debes sobrescribir?</t>
  </si>
  <si>
    <t xml:space="preserve">hashCode()</t>
  </si>
  <si>
    <t xml:space="preserve">toString()</t>
  </si>
  <si>
    <t xml:space="preserve">finalize()</t>
  </si>
  <si>
    <t xml:space="preserve">clone()</t>
  </si>
  <si>
    <t xml:space="preserve">Si no, los objetos iguales irían a buckets distintos en un HashMap.</t>
  </si>
  <si>
    <t xml:space="preserve">bck-java-M2</t>
  </si>
  <si>
    <t xml:space="preserve">¿Qué hace `Optional`?</t>
  </si>
  <si>
    <t xml:space="preserve">Representa un valor que puede o no existir, para evitar null y NullPointerException</t>
  </si>
  <si>
    <t xml:space="preserve">Hace un campo opcional en la base de datos</t>
  </si>
  <si>
    <t xml:space="preserve">Optimiza el rendimiento</t>
  </si>
  <si>
    <t xml:space="preserve">Sustituye a las excepciones</t>
  </si>
  <si>
    <t xml:space="preserve">Úsalo sobre todo como tipo de retorno, no en campos ni parámetros.</t>
  </si>
  <si>
    <t xml:space="preserve">bck-java-M3</t>
  </si>
  <si>
    <t xml:space="preserve">¿Qué hace este código: `list.stream().filter(x -&gt; x &gt; 5).map(x -&gt; x * 2).toList()`?</t>
  </si>
  <si>
    <t xml:space="preserve">Filtra los mayores que 5, los duplica y devuelve una lista nueva</t>
  </si>
  <si>
    <t xml:space="preserve">Modifica la lista original</t>
  </si>
  <si>
    <t xml:space="preserve">Devuelve un número</t>
  </si>
  <si>
    <t xml:space="preserve">Lanza una excepción</t>
  </si>
  <si>
    <t xml:space="preserve">Los streams no modifican la colección original.</t>
  </si>
  <si>
    <t xml:space="preserve">bck-java-M4</t>
  </si>
  <si>
    <t xml:space="preserve">Si no existe el usuario, ¿qué vale name?</t>
  </si>
  <si>
    <t xml:space="preserve">Optional&lt;User&gt; user = repo.findById(id);
String name = user.map(User::getName).orElse("Anónimo");</t>
  </si>
  <si>
    <t xml:space="preserve">"Anónimo"</t>
  </si>
  <si>
    <t xml:space="preserve">Lanza NoSuchElementException</t>
  </si>
  <si>
    <t xml:space="preserve">""</t>
  </si>
  <si>
    <t xml:space="preserve">`map` no se ejecuta sobre un Optional vacío y `orElse` da el valor por defecto.</t>
  </si>
  <si>
    <t xml:space="preserve">bck-java-S1</t>
  </si>
  <si>
    <t xml:space="preserve">¿Qué aportan los virtual threads de Java 21?</t>
  </si>
  <si>
    <t xml:space="preserve">Hilos muy ligeros gestionados por la JVM que permiten miles de tareas concurrentes bloqueantes sin agotar recursos</t>
  </si>
  <si>
    <t xml:space="preserve">Hacen el código más rápido en CPU</t>
  </si>
  <si>
    <t xml:space="preserve">Sustituyen a la base de datos</t>
  </si>
  <si>
    <t xml:space="preserve">Eliminan el garbage collector</t>
  </si>
  <si>
    <t xml:space="preserve">Ideales para servicios con mucho I/O; no aceleran el cálculo intensivo.</t>
  </si>
  <si>
    <t xml:space="preserve">bck-java-S2</t>
  </si>
  <si>
    <t xml:space="preserve">Una aplicación consume cada vez más memoria hasta caerse. ¿Qué harías primero?</t>
  </si>
  <si>
    <t xml:space="preserve">Sacar un heap dump y analizarlo (p. ej. con Eclipse MAT) para ver qué objetos se acumulan</t>
  </si>
  <si>
    <t xml:space="preserve">Aumentar la memoria sin más</t>
  </si>
  <si>
    <t xml:space="preserve">Reiniciar cada noche</t>
  </si>
  <si>
    <t xml:space="preserve">Cambiar a otro lenguaje</t>
  </si>
  <si>
    <t xml:space="preserve">Fugas típicas: cachés sin límite, listeners sin eliminar, colecciones estáticas.</t>
  </si>
  <si>
    <t xml:space="preserve">bck-java-S3</t>
  </si>
  <si>
    <t xml:space="preserve">¿Qué colección es segura para acceso concurrente y eficiente?</t>
  </si>
  <si>
    <t xml:space="preserve">ConcurrentHashMap</t>
  </si>
  <si>
    <t xml:space="preserve">HashMap</t>
  </si>
  <si>
    <t xml:space="preserve">TreeMap</t>
  </si>
  <si>
    <t xml:space="preserve">Collections.synchronizedMap también es segura, pero bloquea todo el mapa.</t>
  </si>
  <si>
    <t xml:space="preserve">bck-java-S4</t>
  </si>
  <si>
    <t xml:space="preserve">Llamado por 1.000 hilos a la vez, ¿por qué el resultado suele ser menor de 1.000?</t>
  </si>
  <si>
    <t xml:space="preserve">private int count = 0;
public void increment() {
  count++;
}</t>
  </si>
  <si>
    <t xml:space="preserve">`count++` no es atómico (leer, sumar, escribir); hay que usar AtomicInteger o sincronizar</t>
  </si>
  <si>
    <t xml:space="preserve">Java limita los hilos a 999</t>
  </si>
  <si>
    <t xml:space="preserve">Por el garbage collector</t>
  </si>
  <si>
    <t xml:space="preserve">Por usar int en lugar de long</t>
  </si>
  <si>
    <t xml:space="preserve">Es una condición de carrera clásica.</t>
  </si>
  <si>
    <t xml:space="preserve">bck-spring-J1</t>
  </si>
  <si>
    <t xml:space="preserve">¿Qué hace la anotación `@SpringBootApplication`?</t>
  </si>
  <si>
    <t xml:space="preserve">Combina configuración, autoconfiguración y escaneo de componentes para arrancar la aplicación</t>
  </si>
  <si>
    <t xml:space="preserve">Crea la base de datos</t>
  </si>
  <si>
    <t xml:space="preserve">Define un endpoint</t>
  </si>
  <si>
    <t xml:space="preserve">Hace los tests</t>
  </si>
  <si>
    <t xml:space="preserve">Incluye @Configuration, @EnableAutoConfiguration y @ComponentScan.</t>
  </si>
  <si>
    <t xml:space="preserve">bck-spring-J2</t>
  </si>
  <si>
    <t xml:space="preserve">¿Qué forma de inyectar dependencias se recomienda en Spring?</t>
  </si>
  <si>
    <t xml:space="preserve">Por constructor</t>
  </si>
  <si>
    <t xml:space="preserve">Con @Autowired en campos privados</t>
  </si>
  <si>
    <t xml:space="preserve">Con new dentro de la clase</t>
  </si>
  <si>
    <t xml:space="preserve">Con variables estáticas</t>
  </si>
  <si>
    <t xml:space="preserve">Facilita los tests y permite campos final.</t>
  </si>
  <si>
    <t xml:space="preserve">bck-spring-J3</t>
  </si>
  <si>
    <t xml:space="preserve">Para marcar una clase de lógica de negocio como bean de Spring se usa ___.</t>
  </si>
  <si>
    <t xml:space="preserve">@Service</t>
  </si>
  <si>
    <t xml:space="preserve">@Entity</t>
  </si>
  <si>
    <t xml:space="preserve">@Value</t>
  </si>
  <si>
    <t xml:space="preserve">@Bean</t>
  </si>
  <si>
    <t xml:space="preserve">@Component es la genérica; @Service, @Repository y @Controller son especializaciones.</t>
  </si>
  <si>
    <t xml:space="preserve">bck-spring-J4</t>
  </si>
  <si>
    <t xml:space="preserve">¿Cómo llega `repo` a OrderService?</t>
  </si>
  <si>
    <t xml:space="preserve">@Service
public class OrderService {
  private final OrderRepository repo;
  public OrderService(OrderRepository repo) {
    this.repo = repo;
  }
}</t>
  </si>
  <si>
    <t xml:space="preserve">Spring lo inyecta por constructor al crear el bean</t>
  </si>
  <si>
    <t xml:space="preserve">Hay que hacer new OrderRepository()</t>
  </si>
  <si>
    <t xml:space="preserve">Por una variable estática</t>
  </si>
  <si>
    <t xml:space="preserve">Desde application.yml</t>
  </si>
  <si>
    <t xml:space="preserve">Con un único constructor no hace falta ni @Autowired.</t>
  </si>
  <si>
    <t xml:space="preserve">bck-spring-M1</t>
  </si>
  <si>
    <t xml:space="preserve">¿Qué ámbito (scope) tiene por defecto un bean de Spring?</t>
  </si>
  <si>
    <t xml:space="preserve">Singleton</t>
  </si>
  <si>
    <t xml:space="preserve">Prototype</t>
  </si>
  <si>
    <t xml:space="preserve">Request</t>
  </si>
  <si>
    <t xml:space="preserve">Session</t>
  </si>
  <si>
    <t xml:space="preserve">Por eso los beans no deben guardar estado de una petición en sus campos.</t>
  </si>
  <si>
    <t xml:space="preserve">bck-spring-M2</t>
  </si>
  <si>
    <t xml:space="preserve">¿Para qué sirven los perfiles (`@Profile`, application-dev.yml)?</t>
  </si>
  <si>
    <t xml:space="preserve">Para tener configuración y beans distintos según el entorno</t>
  </si>
  <si>
    <t xml:space="preserve">Para gestionar usuarios</t>
  </si>
  <si>
    <t xml:space="preserve">Para medir rendimiento</t>
  </si>
  <si>
    <t xml:space="preserve">Para crear roles de seguridad</t>
  </si>
  <si>
    <t xml:space="preserve">Se activan con spring.profiles.active.</t>
  </si>
  <si>
    <t xml:space="preserve">bck-spring-M3</t>
  </si>
  <si>
    <t xml:space="preserve">¿Por qué `@Transactional` puede no funcionar al llamar a un método de la misma clase?</t>
  </si>
  <si>
    <t xml:space="preserve">Porque funciona mediante un proxy, y la llamada interna no pasa por él</t>
  </si>
  <si>
    <t xml:space="preserve">Porque solo funciona en métodos estáticos</t>
  </si>
  <si>
    <t xml:space="preserve">Porque necesita XML</t>
  </si>
  <si>
    <t xml:space="preserve">Siempre funciona</t>
  </si>
  <si>
    <t xml:space="preserve">Solución: mover el método a otro bean o reestructurar.</t>
  </si>
  <si>
    <t xml:space="preserve">bck-spring-M4</t>
  </si>
  <si>
    <t xml:space="preserve">¿Se abre una transacción al llamar a `pay()` desde otro bean?</t>
  </si>
  <si>
    <t xml:space="preserve">@Service
public class PaymentService {
  public void pay() {
    this.save();
  }
  @Transactional
  public void save() { /* ... */ }
}</t>
  </si>
  <si>
    <t xml:space="preserve">No: la llamada interna a save() no pasa por el proxy de Spring</t>
  </si>
  <si>
    <t xml:space="preserve">Sí, dos transacciones</t>
  </si>
  <si>
    <t xml:space="preserve">Solo si pay() es privado</t>
  </si>
  <si>
    <t xml:space="preserve">@Transactional funciona mediante proxy. Solución: mover save() a otro bean o anotar pay().</t>
  </si>
  <si>
    <t xml:space="preserve">bck-spring-S1</t>
  </si>
  <si>
    <t xml:space="preserve">¿Qué aporta Spring Boot Actuator en producción?</t>
  </si>
  <si>
    <t xml:space="preserve">Endpoints de salud, métricas, info y más, integrables con Prometheus u otros sistemas</t>
  </si>
  <si>
    <t xml:space="preserve">Una interfaz gráfica de administración</t>
  </si>
  <si>
    <t xml:space="preserve">Seguridad automática completa</t>
  </si>
  <si>
    <t xml:space="preserve">Un ORM</t>
  </si>
  <si>
    <t xml:space="preserve">Hay que proteger los endpoints sensibles.</t>
  </si>
  <si>
    <t xml:space="preserve">bck-spring-S2</t>
  </si>
  <si>
    <t xml:space="preserve">¿Qué ventaja tiene compilar una app Spring con GraalVM a imagen nativa?</t>
  </si>
  <si>
    <t xml:space="preserve">Arranque muy rápido y menos memoria, útil en serverless o contenedores</t>
  </si>
  <si>
    <t xml:space="preserve">Más rendimiento en cualquier caso</t>
  </si>
  <si>
    <t xml:space="preserve">Permite usar Java 8</t>
  </si>
  <si>
    <t xml:space="preserve">A cambio, builds más lentos y limitaciones con reflexión.</t>
  </si>
  <si>
    <t xml:space="preserve">bck-spring-S3</t>
  </si>
  <si>
    <t xml:space="preserve">¿Dónde guardarías la configuración sensible (contraseñas, claves) de un servicio Spring en la nube?</t>
  </si>
  <si>
    <t xml:space="preserve">En un gestor de secretos (Vault, AWS Secrets Manager) inyectado en tiempo de ejecución</t>
  </si>
  <si>
    <t xml:space="preserve">En application.yml dentro del repositorio</t>
  </si>
  <si>
    <t xml:space="preserve">En el código</t>
  </si>
  <si>
    <t xml:space="preserve">En un comentario</t>
  </si>
  <si>
    <t xml:space="preserve">Nunca secretos en el repositorio, ni siquiera en privado.</t>
  </si>
  <si>
    <t xml:space="preserve">bck-spring-S4</t>
  </si>
  <si>
    <t xml:space="preserve">¿Ventaja frente a varios `@Value`?</t>
  </si>
  <si>
    <t xml:space="preserve">@ConfigurationProperties(prefix = "payments")
public record PaymentProps(String apiUrl, Duration timeout) {}</t>
  </si>
  <si>
    <t xml:space="preserve">Configuración tipada y agrupada, validable y fácil de testear</t>
  </si>
  <si>
    <t xml:space="preserve">Es más rápida en ejecución</t>
  </si>
  <si>
    <t xml:space="preserve">Permite cambiar la configuración sin reiniciar siempre</t>
  </si>
  <si>
    <t xml:space="preserve">Se registra con @EnableConfigurationProperties o @ConfigurationPropertiesScan.</t>
  </si>
  <si>
    <t xml:space="preserve">bck-rest-J1</t>
  </si>
  <si>
    <t xml:space="preserve">¿Qué método HTTP usarías para crear un recurso nuevo?</t>
  </si>
  <si>
    <t xml:space="preserve">POST</t>
  </si>
  <si>
    <t xml:space="preserve">GET</t>
  </si>
  <si>
    <t xml:space="preserve">DELETE</t>
  </si>
  <si>
    <t xml:space="preserve">HEAD</t>
  </si>
  <si>
    <t xml:space="preserve">GET lee, POST crea, PUT reemplaza, PATCH modifica parcialmente, DELETE borra.</t>
  </si>
  <si>
    <t xml:space="preserve">bck-rest-J2</t>
  </si>
  <si>
    <t xml:space="preserve">¿Qué significa un código de estado 404?</t>
  </si>
  <si>
    <t xml:space="preserve">El recurso no existe</t>
  </si>
  <si>
    <t xml:space="preserve">Error interno del servidor</t>
  </si>
  <si>
    <t xml:space="preserve">No autenticado</t>
  </si>
  <si>
    <t xml:space="preserve">Creado correctamente</t>
  </si>
  <si>
    <t xml:space="preserve">2xx éxito, 4xx error del cliente, 5xx error del servidor.</t>
  </si>
  <si>
    <t xml:space="preserve">bck-rest-J3</t>
  </si>
  <si>
    <t xml:space="preserve">En Spring, para crear un controlador REST que devuelve JSON se usa ___.</t>
  </si>
  <si>
    <t xml:space="preserve">@RestController</t>
  </si>
  <si>
    <t xml:space="preserve">@Controller</t>
  </si>
  <si>
    <t xml:space="preserve">@Repository</t>
  </si>
  <si>
    <t xml:space="preserve">@RestController = @Controller + @ResponseBody.</t>
  </si>
  <si>
    <t xml:space="preserve">bck-rest-J4</t>
  </si>
  <si>
    <t xml:space="preserve">Con `GET /users/7`, ¿qué vale id?</t>
  </si>
  <si>
    <t xml:space="preserve">@GetMapping("/users/{id}")
public User get(@PathVariable Long id) { ... }</t>
  </si>
  <si>
    <t xml:space="preserve">7</t>
  </si>
  <si>
    <t xml:space="preserve">"{id}"</t>
  </si>
  <si>
    <t xml:space="preserve">users/7</t>
  </si>
  <si>
    <t xml:space="preserve">@PathVariable extrae el valor del segmento de la URL.</t>
  </si>
  <si>
    <t xml:space="preserve">bck-rest-M1</t>
  </si>
  <si>
    <t xml:space="preserve">¿Qué métodos HTTP son idempotentes?</t>
  </si>
  <si>
    <t xml:space="preserve">GET, PUT y DELETE (repetirlos deja el mismo resultado)</t>
  </si>
  <si>
    <t xml:space="preserve">Solo POST</t>
  </si>
  <si>
    <t xml:space="preserve">POST y PATCH</t>
  </si>
  <si>
    <t xml:space="preserve">POST no es idempotente: repetirlo puede crear duplicados.</t>
  </si>
  <si>
    <t xml:space="preserve">bck-rest-M2</t>
  </si>
  <si>
    <t xml:space="preserve">¿Cómo gestionarías los errores de forma centralizada en Spring?</t>
  </si>
  <si>
    <t xml:space="preserve">Con @RestControllerAdvice y @ExceptionHandler, devolviendo un formato común (p. ej. ProblemDetail)</t>
  </si>
  <si>
    <t xml:space="preserve">Con try/catch en cada controlador</t>
  </si>
  <si>
    <t xml:space="preserve">Devolviendo siempre 200</t>
  </si>
  <si>
    <t xml:space="preserve">Con System.out.println</t>
  </si>
  <si>
    <t xml:space="preserve">ProblemDetail sigue el estándar RFC 9457 para errores HTTP.</t>
  </si>
  <si>
    <t xml:space="preserve">bck-rest-M3</t>
  </si>
  <si>
    <t xml:space="preserve">¿Para qué sirven los DTOs?</t>
  </si>
  <si>
    <t xml:space="preserve">Para separar lo que expone la API del modelo interno (entidades), controlando qué datos entran y salen</t>
  </si>
  <si>
    <t xml:space="preserve">Para conectarse a la base de datos</t>
  </si>
  <si>
    <t xml:space="preserve">Para cifrar datos</t>
  </si>
  <si>
    <t xml:space="preserve">No sirven para nada</t>
  </si>
  <si>
    <t xml:space="preserve">Exponer entidades directamente filtra campos y acopla la API a la base de datos.</t>
  </si>
  <si>
    <t xml:space="preserve">bck-rest-M4</t>
  </si>
  <si>
    <t xml:space="preserve">¿Qué código de estado devuelve?</t>
  </si>
  <si>
    <t xml:space="preserve">@PostMapping("/orders")
public ResponseEntity&lt;Order&gt; create(@RequestBody @Valid OrderRequest req) {
  Order o = service.create(req);
  return ResponseEntity.created(URI.create("/orders/" + o.id())).body(o);
}</t>
  </si>
  <si>
    <t xml:space="preserve">201 Created, con la cabecera Location</t>
  </si>
  <si>
    <t xml:space="preserve">200 OK</t>
  </si>
  <si>
    <t xml:space="preserve">204 No Content</t>
  </si>
  <si>
    <t xml:space="preserve">302 Found</t>
  </si>
  <si>
    <t xml:space="preserve">Es lo correcto al crear un recurso.</t>
  </si>
  <si>
    <t xml:space="preserve">bck-rest-S1</t>
  </si>
  <si>
    <t xml:space="preserve">¿Cómo evitas cobros duplicados si el cliente reintenta un POST de pago?</t>
  </si>
  <si>
    <t xml:space="preserve">Con una clave de idempotencia enviada por el cliente y guardada en el servidor</t>
  </si>
  <si>
    <t xml:space="preserve">Pidiendo al usuario que no pulse dos veces</t>
  </si>
  <si>
    <t xml:space="preserve">Usando GET en vez de POST</t>
  </si>
  <si>
    <t xml:space="preserve">Con un timeout más largo</t>
  </si>
  <si>
    <t xml:space="preserve">Si llega la misma clave, se devuelve el resultado original sin repetir la operación.</t>
  </si>
  <si>
    <t xml:space="preserve">bck-rest-S2</t>
  </si>
  <si>
    <t xml:space="preserve">¿Cuándo elegirías gRPC frente a REST?</t>
  </si>
  <si>
    <t xml:space="preserve">Para comunicación interna entre servicios con alto rendimiento y contratos tipados</t>
  </si>
  <si>
    <t xml:space="preserve">Para APIs públicas consumidas desde el navegador sin más</t>
  </si>
  <si>
    <t xml:space="preserve">Solo para archivos grandes</t>
  </si>
  <si>
    <t xml:space="preserve">REST sigue siendo lo más cómodo para APIs públicas.</t>
  </si>
  <si>
    <t xml:space="preserve">bck-rest-S3</t>
  </si>
  <si>
    <t xml:space="preserve">¿Qué es el rate limiting y por qué aplicarlo?</t>
  </si>
  <si>
    <t xml:space="preserve">Limitar las peticiones por cliente en un periodo para proteger el servicio de abusos y picos</t>
  </si>
  <si>
    <t xml:space="preserve">Una forma de cobrar</t>
  </si>
  <si>
    <t xml:space="preserve">Comprimir respuestas</t>
  </si>
  <si>
    <t xml:space="preserve">Cachear respuestas</t>
  </si>
  <si>
    <t xml:space="preserve">Se suele devolver 429 Too Many Requests.</t>
  </si>
  <si>
    <t xml:space="preserve">bck-rest-S4</t>
  </si>
  <si>
    <t xml:space="preserve">¿Qué consigue esta clase?</t>
  </si>
  <si>
    <t xml:space="preserve">@RestControllerAdvice
class ApiErrors {
  @ExceptionHandler(NotFoundException.class)
  ProblemDetail notFound(NotFoundException e) {
    return ProblemDetail.forStatusAndDetail(HttpStatus.NOT_FOUND, e.getMessage());
  }
}</t>
  </si>
  <si>
    <t xml:space="preserve">Que cualquier NotFoundException de cualquier controlador devuelva un 404 con formato estándar</t>
  </si>
  <si>
    <t xml:space="preserve">Que no haya errores</t>
  </si>
  <si>
    <t xml:space="preserve">Que todos los errores sean 404</t>
  </si>
  <si>
    <t xml:space="preserve">Que se registren los errores en la base de datos</t>
  </si>
  <si>
    <t xml:space="preserve">bck-db-J1</t>
  </si>
  <si>
    <t xml:space="preserve">¿Qué es una clave primaria?</t>
  </si>
  <si>
    <t xml:space="preserve">Una columna (o varias) que identifica de forma única cada fila</t>
  </si>
  <si>
    <t xml:space="preserve">Una contraseña de la base de datos</t>
  </si>
  <si>
    <t xml:space="preserve">Un índice opcional</t>
  </si>
  <si>
    <t xml:space="preserve">Una relación entre tablas</t>
  </si>
  <si>
    <t xml:space="preserve">La clave foránea apunta a la primaria de otra tabla.</t>
  </si>
  <si>
    <t xml:space="preserve">bck-db-J2</t>
  </si>
  <si>
    <t xml:space="preserve">¿Qué hace un `JOIN` en SQL?</t>
  </si>
  <si>
    <t xml:space="preserve">Combina filas de dos tablas relacionadas</t>
  </si>
  <si>
    <t xml:space="preserve">Borra filas duplicadas</t>
  </si>
  <si>
    <t xml:space="preserve">Crea una tabla nueva</t>
  </si>
  <si>
    <t xml:space="preserve">Ordena resultados</t>
  </si>
  <si>
    <t xml:space="preserve">INNER JOIN devuelve solo coincidencias; LEFT JOIN también las filas sin pareja de la izquierda.</t>
  </si>
  <si>
    <t xml:space="preserve">bck-db-J3</t>
  </si>
  <si>
    <t xml:space="preserve">En Spring Data JPA, basta con extender ___ para tener findAll, save o deleteById.</t>
  </si>
  <si>
    <t xml:space="preserve">JpaRepository</t>
  </si>
  <si>
    <t xml:space="preserve">JpaEntity</t>
  </si>
  <si>
    <t xml:space="preserve">CrudController</t>
  </si>
  <si>
    <t xml:space="preserve">DataSource</t>
  </si>
  <si>
    <t xml:space="preserve">Además puedes crear consultas por nombre de método, como findByEmail.</t>
  </si>
  <si>
    <t xml:space="preserve">bck-db-J4</t>
  </si>
  <si>
    <t xml:space="preserve">¿Aparecen los clientes sin pedidos?</t>
  </si>
  <si>
    <t xml:space="preserve">SELECT c.name, COUNT(o.id)
FROM customers c
LEFT JOIN orders o ON o.customer_id = c.id
GROUP BY c.name;</t>
  </si>
  <si>
    <t xml:space="preserve">Sí, con 0, gracias al LEFT JOIN</t>
  </si>
  <si>
    <t xml:space="preserve">No</t>
  </si>
  <si>
    <t xml:space="preserve">Sí, con NULL en el nombre</t>
  </si>
  <si>
    <t xml:space="preserve">Solo si se añade WHERE</t>
  </si>
  <si>
    <t xml:space="preserve">Con INNER JOIN desaparecerían. `COUNT(o.id)` no cuenta los NULL.</t>
  </si>
  <si>
    <t xml:space="preserve">bck-db-M1</t>
  </si>
  <si>
    <t xml:space="preserve">¿Qué es el problema N+1?</t>
  </si>
  <si>
    <t xml:space="preserve">Hacer una consulta para una lista y luego una consulta extra por cada elemento al acceder a sus relaciones</t>
  </si>
  <si>
    <t xml:space="preserve">Tener N+1 tablas</t>
  </si>
  <si>
    <t xml:space="preserve">Un error de clave primaria</t>
  </si>
  <si>
    <t xml:space="preserve">Una consulta con N+1 columnas</t>
  </si>
  <si>
    <t xml:space="preserve">Soluciones: JOIN FETCH, @EntityGraph o consultas por lotes.</t>
  </si>
  <si>
    <t xml:space="preserve">bck-db-M2</t>
  </si>
  <si>
    <t xml:space="preserve">¿Para qué sirve un índice?</t>
  </si>
  <si>
    <t xml:space="preserve">Para acelerar búsquedas y ordenaciones, a costa de más espacio y escrituras algo más lentas</t>
  </si>
  <si>
    <t xml:space="preserve">Para evitar duplicados siempre</t>
  </si>
  <si>
    <t xml:space="preserve">Un índice único sí evita duplicados, pero no es su función general.</t>
  </si>
  <si>
    <t xml:space="preserve">bck-db-M3</t>
  </si>
  <si>
    <t xml:space="preserve">¿Qué es el bloqueo optimista en JPA?</t>
  </si>
  <si>
    <t xml:space="preserve">Un campo @Version que detecta si otro proceso modificó el registro y hace fallar la actualización</t>
  </si>
  <si>
    <t xml:space="preserve">Bloquear toda la tabla</t>
  </si>
  <si>
    <t xml:space="preserve">Confiar en que no habrá conflictos sin comprobar nada</t>
  </si>
  <si>
    <t xml:space="preserve">Un tipo de índice</t>
  </si>
  <si>
    <t xml:space="preserve">Ideal cuando los conflictos son poco frecuentes.</t>
  </si>
  <si>
    <t xml:space="preserve">bck-db-M4</t>
  </si>
  <si>
    <t xml:space="preserve">Con customer en carga perezosa y 100 pedidos de clientes distintos, ¿cuántas consultas se hacen?</t>
  </si>
  <si>
    <t xml:space="preserve">List&lt;Order&gt; orders = repo.findAll();
for (Order o : orders) {
  System.out.println(o.getCustomer().getName());
}</t>
  </si>
  <si>
    <t xml:space="preserve">101: una para los pedidos y una por cada cliente (N+1)</t>
  </si>
  <si>
    <t xml:space="preserve">100</t>
  </si>
  <si>
    <t xml:space="preserve">Se soluciona con JOIN FETCH o @EntityGraph.</t>
  </si>
  <si>
    <t xml:space="preserve">bck-db-S1</t>
  </si>
  <si>
    <t xml:space="preserve">¿Qué nivel de aislamiento evita las lecturas no repetibles pero no siempre los fantasmas (según el estándar SQL)?</t>
  </si>
  <si>
    <t xml:space="preserve">Repeatable Read</t>
  </si>
  <si>
    <t xml:space="preserve">Read Uncommitted</t>
  </si>
  <si>
    <t xml:space="preserve">Read Committed</t>
  </si>
  <si>
    <t xml:space="preserve">Serializable</t>
  </si>
  <si>
    <t xml:space="preserve">Cada motor lo implementa a su manera: en PostgreSQL, Repeatable Read también evita fantasmas.</t>
  </si>
  <si>
    <t xml:space="preserve">bck-db-S2</t>
  </si>
  <si>
    <t xml:space="preserve">¿Cómo harías migraciones de esquema sin parar el servicio?</t>
  </si>
  <si>
    <t xml:space="preserve">Cambios compatibles hacia atrás en varias fases (expand and contract) con Flyway o Liquibase</t>
  </si>
  <si>
    <t xml:space="preserve">Parar el servicio cada vez</t>
  </si>
  <si>
    <t xml:space="preserve">Modificar las tablas a mano en producción</t>
  </si>
  <si>
    <t xml:space="preserve">Borrar y recrear la base de datos</t>
  </si>
  <si>
    <t xml:space="preserve">Ejemplo: añadir columna nueva, escribir en ambas, migrar datos, y solo después borrar la vieja.</t>
  </si>
  <si>
    <t xml:space="preserve">bck-db-S3</t>
  </si>
  <si>
    <t xml:space="preserve">¿Cuándo elegirías una base de datos NoSQL en lugar de relacional?</t>
  </si>
  <si>
    <t xml:space="preserve">Con patrones de acceso conocidos, gran escala o datos poco estructurados, donde no necesitas joins ni transacciones complejas</t>
  </si>
  <si>
    <t xml:space="preserve">Siempre, es más moderna</t>
  </si>
  <si>
    <t xml:space="preserve">Cuando hay muchas relaciones entre entidades</t>
  </si>
  <si>
    <t xml:space="preserve">Para la mayoría de aplicaciones de negocio, una relacional es la opción por defecto.</t>
  </si>
  <si>
    <t xml:space="preserve">bck-db-S4</t>
  </si>
  <si>
    <t xml:space="preserve">¿Qué índice ayuda más a esta consulta?</t>
  </si>
  <si>
    <t xml:space="preserve">SELECT * FROM orders
WHERE customer_id = 42 AND status = 'PAID'
ORDER BY created_at DESC;</t>
  </si>
  <si>
    <t xml:space="preserve">Uno compuesto (customer_id, status, created_at)</t>
  </si>
  <si>
    <t xml:space="preserve">Uno en created_at solo</t>
  </si>
  <si>
    <t xml:space="preserve">Uno en status solo</t>
  </si>
  <si>
    <t xml:space="preserve">Ninguno: los índices no ayudan con ORDER BY</t>
  </si>
  <si>
    <t xml:space="preserve">Primero los filtros por igualdad y al final la columna de ordenación.</t>
  </si>
  <si>
    <t xml:space="preserve">bck-arch-J1</t>
  </si>
  <si>
    <t xml:space="preserve">¿Qué es una arquitectura en capas típica en un backend?</t>
  </si>
  <si>
    <t xml:space="preserve">Controlador → servicio (lógica de negocio) → repositorio (acceso a datos)</t>
  </si>
  <si>
    <t xml:space="preserve">Todo en el controlador</t>
  </si>
  <si>
    <t xml:space="preserve">Base de datos → controlador → vista</t>
  </si>
  <si>
    <t xml:space="preserve">Un solo archivo por aplicación</t>
  </si>
  <si>
    <t xml:space="preserve">Cada capa tiene una responsabilidad y solo habla con la siguiente.</t>
  </si>
  <si>
    <t xml:space="preserve">bck-arch-J2</t>
  </si>
  <si>
    <t xml:space="preserve">¿Qué es un microservicio?</t>
  </si>
  <si>
    <t xml:space="preserve">Un servicio pequeño e independiente que se despliega por separado y se encarga de una parte del negocio</t>
  </si>
  <si>
    <t xml:space="preserve">Una función de Java muy corta</t>
  </si>
  <si>
    <t xml:space="preserve">Un servidor muy pequeño</t>
  </si>
  <si>
    <t xml:space="preserve">Cada uno suele tener su propia base de datos.</t>
  </si>
  <si>
    <t xml:space="preserve">bck-arch-J3</t>
  </si>
  <si>
    <t xml:space="preserve">El principio SOLID que dice que una clase debe tener una sola razón para cambiar es el de responsabilidad ___.</t>
  </si>
  <si>
    <t xml:space="preserve">única</t>
  </si>
  <si>
    <t xml:space="preserve">abierta</t>
  </si>
  <si>
    <t xml:space="preserve">sustituible</t>
  </si>
  <si>
    <t xml:space="preserve">invertida</t>
  </si>
  <si>
    <t xml:space="preserve">Single Responsibility Principle.</t>
  </si>
  <si>
    <t xml:space="preserve">bck-arch-J4</t>
  </si>
  <si>
    <t xml:space="preserve">¿En qué capa va esta regla de negocio?</t>
  </si>
  <si>
    <t xml:space="preserve">// "Un pedido no puede tener más de 50 líneas"
if (order.lines().size() &gt; 50) {
  throw new TooManyLinesException();
}</t>
  </si>
  <si>
    <t xml:space="preserve">En el servicio o el dominio</t>
  </si>
  <si>
    <t xml:space="preserve">En el controlador</t>
  </si>
  <si>
    <t xml:space="preserve">En el repositorio</t>
  </si>
  <si>
    <t xml:space="preserve">En el frontend</t>
  </si>
  <si>
    <t xml:space="preserve">El controlador recibe y responde; el repositorio guarda. Las reglas viven en el servicio o el dominio.</t>
  </si>
  <si>
    <t xml:space="preserve">bck-arch-M1</t>
  </si>
  <si>
    <t xml:space="preserve">¿Para qué sirve un circuit breaker (p. ej. Resilience4j)?</t>
  </si>
  <si>
    <t xml:space="preserve">Para dejar de llamar temporalmente a un servicio que falla y evitar fallos en cascada</t>
  </si>
  <si>
    <t xml:space="preserve">Para cifrar comunicaciones</t>
  </si>
  <si>
    <t xml:space="preserve">Para guardar logs</t>
  </si>
  <si>
    <t xml:space="preserve">Tras un tiempo deja pasar algunas llamadas de prueba para ver si se recuperó.</t>
  </si>
  <si>
    <t xml:space="preserve">bck-arch-M2</t>
  </si>
  <si>
    <t xml:space="preserve">¿Qué ventaja tiene la comunicación asíncrona con colas o eventos (Kafka, RabbitMQ, SQS)?</t>
  </si>
  <si>
    <t xml:space="preserve">Desacopla servicios y absorbe picos: el emisor no depende de que el receptor esté disponible en ese momento</t>
  </si>
  <si>
    <t xml:space="preserve">Es siempre más rápida</t>
  </si>
  <si>
    <t xml:space="preserve">Garantiza el orden sin configuración</t>
  </si>
  <si>
    <t xml:space="preserve">Elimina la necesidad de bases de datos</t>
  </si>
  <si>
    <t xml:space="preserve">A cambio, la consistencia es eventual y hay que gestionar reintentos y duplicados.</t>
  </si>
  <si>
    <t xml:space="preserve">bck-arch-M3</t>
  </si>
  <si>
    <t xml:space="preserve">¿Qué es un API Gateway?</t>
  </si>
  <si>
    <t xml:space="preserve">Un punto de entrada único que enruta peticiones a los servicios y aplica autenticación, límites o logs</t>
  </si>
  <si>
    <t xml:space="preserve">Una base de datos</t>
  </si>
  <si>
    <t xml:space="preserve">Un framework de tests</t>
  </si>
  <si>
    <t xml:space="preserve">Un servidor de correo</t>
  </si>
  <si>
    <t xml:space="preserve">Evita que los clientes conozcan la topología interna.</t>
  </si>
  <si>
    <t xml:space="preserve">bck-arch-M4</t>
  </si>
  <si>
    <t xml:space="preserve">Si inventory falla repetidamente, ¿qué pasa?</t>
  </si>
  <si>
    <t xml:space="preserve">@CircuitBreaker(name = "inventory", fallbackMethod = "stockUnknown")
public Stock check(String sku) {
  return client.getStock(sku);
}</t>
  </si>
  <si>
    <t xml:space="preserve">El circuito se abre y se llama directamente a stockUnknown sin esperar al servicio caído</t>
  </si>
  <si>
    <t xml:space="preserve">Se reintenta infinitamente</t>
  </si>
  <si>
    <t xml:space="preserve">La aplicación se para</t>
  </si>
  <si>
    <t xml:space="preserve">Se devuelve un 500 siempre</t>
  </si>
  <si>
    <t xml:space="preserve">Pasado un tiempo, el circuito deja pasar llamadas de prueba (semiabierto).</t>
  </si>
  <si>
    <t xml:space="preserve">bck-arch-S1</t>
  </si>
  <si>
    <t xml:space="preserve">¿Qué es el patrón Outbox?</t>
  </si>
  <si>
    <t xml:space="preserve">Guardar el evento en una tabla dentro de la misma transacción que el cambio de negocio y publicarlo después de forma fiable</t>
  </si>
  <si>
    <t xml:space="preserve">Enviar correos a la bandeja de salida</t>
  </si>
  <si>
    <t xml:space="preserve">Un tipo de caché</t>
  </si>
  <si>
    <t xml:space="preserve">Evita el problema de guardar en base de datos pero no publicar el evento (o al revés).</t>
  </si>
  <si>
    <t xml:space="preserve">bck-arch-S2</t>
  </si>
  <si>
    <t xml:space="preserve">¿Qué aporta Domain-Driven Design a la hora de dividir microservicios?</t>
  </si>
  <si>
    <t xml:space="preserve">Usar bounded contexts del negocio para definir límites con sentido y un lenguaje común</t>
  </si>
  <si>
    <t xml:space="preserve">Dividir por tablas de la base de datos</t>
  </si>
  <si>
    <t xml:space="preserve">Un microservicio por clase</t>
  </si>
  <si>
    <t xml:space="preserve">Dividir por capas técnicas</t>
  </si>
  <si>
    <t xml:space="preserve">Dividir mal genera servicios muy acoplados: un 'monolito distribuido'.</t>
  </si>
  <si>
    <t xml:space="preserve">bck-arch-S3</t>
  </si>
  <si>
    <t xml:space="preserve">¿Qué es CQRS?</t>
  </si>
  <si>
    <t xml:space="preserve">Separar el modelo de escritura (comandos) del de lectura (consultas), que pueden optimizarse por separado</t>
  </si>
  <si>
    <t xml:space="preserve">Un protocolo de red</t>
  </si>
  <si>
    <t xml:space="preserve">Un tipo de cifrado</t>
  </si>
  <si>
    <t xml:space="preserve">Un framework de Spring</t>
  </si>
  <si>
    <t xml:space="preserve">Útil con lecturas muy distintas a las escrituras; añade complejidad si no hace falta.</t>
  </si>
  <si>
    <t xml:space="preserve">bck-arch-S4</t>
  </si>
  <si>
    <t xml:space="preserve">¿Qué problema resuelve guardar el evento en la misma transacción?</t>
  </si>
  <si>
    <t xml:space="preserve">@Transactional
public void placeOrder(Order o) {
  orders.save(o);
  outbox.save(new OutboxEvent("OrderPlaced", o.id()));
}</t>
  </si>
  <si>
    <t xml:space="preserve">Que nunca quede el pedido guardado sin su evento (o al revés); otro proceso publica después lo que hay en outbox</t>
  </si>
  <si>
    <t xml:space="preserve">Que los eventos lleguen más rápido</t>
  </si>
  <si>
    <t xml:space="preserve">Que no haga falta base de datos</t>
  </si>
  <si>
    <t xml:space="preserve">Que el evento se publique dos veces</t>
  </si>
  <si>
    <t xml:space="preserve">Es el patrón Outbox. Los consumidores deben ser idempotentes, porque la publicación es al menos una vez.</t>
  </si>
  <si>
    <t xml:space="preserve">bck-sec-J1</t>
  </si>
  <si>
    <t xml:space="preserve">¿Qué librería se usa para tests unitarios en Java?</t>
  </si>
  <si>
    <t xml:space="preserve">JUnit (normalmente con Mockito para los dobles)</t>
  </si>
  <si>
    <t xml:space="preserve">Selenium</t>
  </si>
  <si>
    <t xml:space="preserve">Maven</t>
  </si>
  <si>
    <t xml:space="preserve">Spring Boot incluye spring-boot-starter-test con JUnit 5, Mockito y AssertJ.</t>
  </si>
  <si>
    <t xml:space="preserve">bck-sec-J2</t>
  </si>
  <si>
    <t xml:space="preserve">¿Qué es la inyección SQL?</t>
  </si>
  <si>
    <t xml:space="preserve">Un ataque que mete código SQL a través de datos de entrada mal tratados</t>
  </si>
  <si>
    <t xml:space="preserve">Una forma de optimizar consultas</t>
  </si>
  <si>
    <t xml:space="preserve">Un tipo de JOIN</t>
  </si>
  <si>
    <t xml:space="preserve">Una migración</t>
  </si>
  <si>
    <t xml:space="preserve">Se evita con consultas parametrizadas (JPA y JdbcTemplate lo hacen).</t>
  </si>
  <si>
    <t xml:space="preserve">bck-sec-J3</t>
  </si>
  <si>
    <t xml:space="preserve">Para crear un doble de una dependencia en Mockito se usa la anotación ___.</t>
  </si>
  <si>
    <t xml:space="preserve">@Mock</t>
  </si>
  <si>
    <t xml:space="preserve">@Spy</t>
  </si>
  <si>
    <t xml:space="preserve">@Test</t>
  </si>
  <si>
    <t xml:space="preserve">@InjectMocks crea la clase a probar con los mocks inyectados.</t>
  </si>
  <si>
    <t xml:space="preserve">bck-sec-J4</t>
  </si>
  <si>
    <t xml:space="preserve">¿Qué problema tiene?</t>
  </si>
  <si>
    <t xml:space="preserve">String sql = "SELECT * FROM users WHERE email = '" + email + "'";</t>
  </si>
  <si>
    <t xml:space="preserve">Permite inyección SQL; hay que usar consultas parametrizadas</t>
  </si>
  <si>
    <t xml:space="preserve">Es lento</t>
  </si>
  <si>
    <t xml:space="preserve">No compila</t>
  </si>
  <si>
    <t xml:space="preserve">Con email = `' OR '1'='1` devolvería todos los usuarios.</t>
  </si>
  <si>
    <t xml:space="preserve">bck-sec-M1</t>
  </si>
  <si>
    <t xml:space="preserve">¿Para qué sirve `@WebMvcTest`?</t>
  </si>
  <si>
    <t xml:space="preserve">Para testear solo la capa web (controladores) con MockMvc, sin levantar todo el contexto</t>
  </si>
  <si>
    <t xml:space="preserve">Para tests E2E con navegador</t>
  </si>
  <si>
    <t xml:space="preserve">Para testear la base de datos</t>
  </si>
  <si>
    <t xml:space="preserve">Para tests de carga</t>
  </si>
  <si>
    <t xml:space="preserve">@DataJpaTest hace lo mismo para la capa de repositorios.</t>
  </si>
  <si>
    <t xml:space="preserve">bck-sec-M2</t>
  </si>
  <si>
    <t xml:space="preserve">¿Qué aportan los Testcontainers?</t>
  </si>
  <si>
    <t xml:space="preserve">Levantar dependencias reales (PostgreSQL, Kafka…) en Docker durante los tests de integración</t>
  </si>
  <si>
    <t xml:space="preserve">Tests más rápidos que los unitarios</t>
  </si>
  <si>
    <t xml:space="preserve">Sustituyen a JUnit</t>
  </si>
  <si>
    <t xml:space="preserve">Son mocks de bases de datos</t>
  </si>
  <si>
    <t xml:space="preserve">Más realista que una base de datos en memoria como H2.</t>
  </si>
  <si>
    <t xml:space="preserve">bck-sec-M3</t>
  </si>
  <si>
    <t xml:space="preserve">¿Qué contiene un JWT y qué NO debe contener?</t>
  </si>
  <si>
    <t xml:space="preserve">Claims firmados (usuario, roles, expiración); no debe llevar datos sensibles porque el payload solo está codificado, no cifrado</t>
  </si>
  <si>
    <t xml:space="preserve">Contraseñas cifradas</t>
  </si>
  <si>
    <t xml:space="preserve">La clave privada</t>
  </si>
  <si>
    <t xml:space="preserve">Nada, es aleatorio</t>
  </si>
  <si>
    <t xml:space="preserve">Cualquiera puede decodificarlo; la firma solo garantiza que no se ha modificado.</t>
  </si>
  <si>
    <t xml:space="preserve">bck-sec-M4</t>
  </si>
  <si>
    <t xml:space="preserve">Un usuario autenticado sin rol ADMIN llama a `/api/admin/users`. ¿Qué recibe?</t>
  </si>
  <si>
    <t xml:space="preserve">http.authorizeHttpRequests(auth -&gt; auth
  .requestMatchers("/api/admin/**").hasRole("ADMIN")
  .anyRequest().authenticated());</t>
  </si>
  <si>
    <t xml:space="preserve">403 Forbidden</t>
  </si>
  <si>
    <t xml:space="preserve">401 Unauthorized</t>
  </si>
  <si>
    <t xml:space="preserve">404 Not Found</t>
  </si>
  <si>
    <t xml:space="preserve">401 es «no sé quién eres»; 403 es «sé quién eres y no tienes permiso».</t>
  </si>
  <si>
    <t xml:space="preserve">bck-sec-S1</t>
  </si>
  <si>
    <t xml:space="preserve">¿Qué son los contract tests (p. ej. Pact, Spring Cloud Contract)?</t>
  </si>
  <si>
    <t xml:space="preserve">Tests que verifican que proveedor y consumidor de una API cumplen el contrato acordado, sin levantar todo el sistema</t>
  </si>
  <si>
    <t xml:space="preserve">Tests legales</t>
  </si>
  <si>
    <t xml:space="preserve">Tests manuales</t>
  </si>
  <si>
    <t xml:space="preserve">Detectan cambios que rompen a otros servicios antes del despliegue.</t>
  </si>
  <si>
    <t xml:space="preserve">bck-sec-S2</t>
  </si>
  <si>
    <t xml:space="preserve">¿Qué es el OWASP Top 10?</t>
  </si>
  <si>
    <t xml:space="preserve">Una lista de los riesgos de seguridad más críticos en aplicaciones web</t>
  </si>
  <si>
    <t xml:space="preserve">Un ranking de frameworks</t>
  </si>
  <si>
    <t xml:space="preserve">Una certificación de Java</t>
  </si>
  <si>
    <t xml:space="preserve">Un tipo de firewall</t>
  </si>
  <si>
    <t xml:space="preserve">Incluye control de acceso roto, inyección, fallos criptográficos…</t>
  </si>
  <si>
    <t xml:space="preserve">bck-sec-S3</t>
  </si>
  <si>
    <t xml:space="preserve">¿Qué estrategia usarías para detectar dependencias vulnerables?</t>
  </si>
  <si>
    <t xml:space="preserve">Escaneo automático en el pipeline (Dependabot, OWASP Dependency-Check, Snyk) y actualizaciones regulares</t>
  </si>
  <si>
    <t xml:space="preserve">Revisarlas a mano una vez al año</t>
  </si>
  <si>
    <t xml:space="preserve">No usar dependencias</t>
  </si>
  <si>
    <t xml:space="preserve">Confiar en que Maven lo hace solo</t>
  </si>
  <si>
    <t xml:space="preserve">La mayoría del código de una app son dependencias de terceros.</t>
  </si>
  <si>
    <t xml:space="preserve">bck-sec-S4</t>
  </si>
  <si>
    <t xml:space="preserve">¿Por qué no comparar `encode(input).equals(hash)`?</t>
  </si>
  <si>
    <t xml:space="preserve">String hash = passwordEncoder.encode(rawPassword);
boolean ok = passwordEncoder.matches(input, hash);</t>
  </si>
  <si>
    <t xml:space="preserve">BCrypt usa una sal aleatoria: el mismo texto da hashes distintos; matches extrae la sal del hash y compara bien</t>
  </si>
  <si>
    <t xml:space="preserve">Porque equals es lento</t>
  </si>
  <si>
    <t xml:space="preserve">Porque encode lanza excepción</t>
  </si>
  <si>
    <t xml:space="preserve">Se puede, es lo mismo</t>
  </si>
  <si>
    <t xml:space="preserve">Nunca compares hashes a mano: usa `matches`.</t>
  </si>
  <si>
    <t xml:space="preserve">fe-css-J1</t>
  </si>
  <si>
    <t xml:space="preserve">En BEM, ¿qué significa `.card__title--large`?</t>
  </si>
  <si>
    <t xml:space="preserve">Bloque card, elemento title, modificador large</t>
  </si>
  <si>
    <t xml:space="preserve">Clase card dentro de title con id large</t>
  </si>
  <si>
    <t xml:space="preserve">Tres clases independientes</t>
  </si>
  <si>
    <t xml:space="preserve">Un selector de atributo</t>
  </si>
  <si>
    <t xml:space="preserve">BEM: `bloque__elemento--modificador`. Da nombres planos, legibles y sin conflictos.</t>
  </si>
  <si>
    <t xml:space="preserve">fe-css-J2</t>
  </si>
  <si>
    <t xml:space="preserve">¿Qué hace `justify-content: space-between`?</t>
  </si>
  <si>
    <t xml:space="preserve">.toolbar {
  display: flex;
  justify-content: space-between;
  align-items: center;
}</t>
  </si>
  <si>
    <t xml:space="preserve">Reparte los hijos en el eje principal: el primero al inicio, el último al final y el espacio entre medias</t>
  </si>
  <si>
    <t xml:space="preserve">Centra los hijos</t>
  </si>
  <si>
    <t xml:space="preserve">Los apila en columna</t>
  </si>
  <si>
    <t xml:space="preserve">Añade el mismo margen a cada lado de todos</t>
  </si>
  <si>
    <t xml:space="preserve">`align-items: center` los centra en el eje cruzado (vertical en una fila).</t>
  </si>
  <si>
    <t xml:space="preserve">fe-css-J3</t>
  </si>
  <si>
    <t xml:space="preserve">Para separar elementos dentro de un flex o un grid sin márgenes se usa `___`.</t>
  </si>
  <si>
    <t xml:space="preserve">gap</t>
  </si>
  <si>
    <t xml:space="preserve">spacing</t>
  </si>
  <si>
    <t xml:space="preserve">margin-between</t>
  </si>
  <si>
    <t xml:space="preserve">padding</t>
  </si>
  <si>
    <t xml:space="preserve">`gap` funciona en flex y grid y evita los problemas de márgenes dobles.</t>
  </si>
  <si>
    <t xml:space="preserve">fe-css-J4</t>
  </si>
  <si>
    <t xml:space="preserve">Flexbox frente a Grid: ¿cuándo cada uno?</t>
  </si>
  <si>
    <t xml:space="preserve">Flexbox para una dimensión (fila o columna); Grid para dos dimensiones a la vez</t>
  </si>
  <si>
    <t xml:space="preserve">Grid es la versión nueva de Flexbox</t>
  </si>
  <si>
    <t xml:space="preserve">Flexbox solo para texto</t>
  </si>
  <si>
    <t xml:space="preserve">Es normal combinarlos: un grid para la página y flex dentro de cada bloque.</t>
  </si>
  <si>
    <t xml:space="preserve">fe-css-M1</t>
  </si>
  <si>
    <t xml:space="preserve">¿Qué consigue este grid?</t>
  </si>
  <si>
    <t xml:space="preserve">.gallery {
  display: grid;
  grid-template-columns: repeat(auto-fill, minmax(200px, 1fr));
  gap: 16px;
}</t>
  </si>
  <si>
    <t xml:space="preserve">Tantas columnas de al menos 200px como quepan, repartiendo el espacio: responsive sin media queries</t>
  </si>
  <si>
    <t xml:space="preserve">Siempre 200 columnas</t>
  </si>
  <si>
    <t xml:space="preserve">Una columna de 200px</t>
  </si>
  <si>
    <t xml:space="preserve">Columnas de exactamente 1fr</t>
  </si>
  <si>
    <t xml:space="preserve">`auto-fill` + `minmax` es el patrón clásico para galerías y listados de tarjetas.</t>
  </si>
  <si>
    <t xml:space="preserve">fe-css-M2</t>
  </si>
  <si>
    <t xml:space="preserve">¿Cuál sigue BEM?</t>
  </si>
  <si>
    <t xml:space="preserve">`.menu__item--active`</t>
  </si>
  <si>
    <t xml:space="preserve">`.menu .item.active`</t>
  </si>
  <si>
    <t xml:space="preserve">`.menu-item__active--`</t>
  </si>
  <si>
    <t xml:space="preserve">`.menuItemActive`</t>
  </si>
  <si>
    <t xml:space="preserve">Elemento con doble guion bajo, modificador con doble guion.</t>
  </si>
  <si>
    <t xml:space="preserve">fe-css-M3</t>
  </si>
  <si>
    <t xml:space="preserve">¿Qué hace `flex: 1` en `.content`?</t>
  </si>
  <si>
    <t xml:space="preserve">.row { display: flex; }
.sidebar { width: 250px; }
.content { flex: 1; }</t>
  </si>
  <si>
    <t xml:space="preserve">Ocupa todo el espacio restante de la fila</t>
  </si>
  <si>
    <t xml:space="preserve">Ocupa 1px</t>
  </si>
  <si>
    <t xml:space="preserve">Se coloca la primera</t>
  </si>
  <si>
    <t xml:space="preserve">Ocupa la mitad</t>
  </si>
  <si>
    <t xml:space="preserve">`flex: 1` equivale a `flex-grow: 1` con base 0: crece para llenar el hueco.</t>
  </si>
  <si>
    <t xml:space="preserve">fe-css-M4</t>
  </si>
  <si>
    <t xml:space="preserve">La forma más corta de centrar un hijo en horizontal y vertical:</t>
  </si>
  <si>
    <t xml:space="preserve">`display: grid; place-items: center;` en el padre</t>
  </si>
  <si>
    <t xml:space="preserve">`margin: auto` en el padre</t>
  </si>
  <si>
    <t xml:space="preserve">`text-align: center`</t>
  </si>
  <si>
    <t xml:space="preserve">`position: absolute` sin más</t>
  </si>
  <si>
    <t xml:space="preserve">Con flex sería `display: flex; justify-content: center; align-items: center;`.</t>
  </si>
  <si>
    <t xml:space="preserve">fe-css-S1</t>
  </si>
  <si>
    <t xml:space="preserve">Un `&lt;a class="active"&gt;` dentro de `#header .nav`: ¿de qué color es?</t>
  </si>
  <si>
    <t xml:space="preserve">#header .nav a { color: red; }
.nav a.active { color: blue; }</t>
  </si>
  <si>
    <t xml:space="preserve">Rojo: el selector con ID tiene más especificidad</t>
  </si>
  <si>
    <t xml:space="preserve">Azul: es la regla más específica por clases</t>
  </si>
  <si>
    <t xml:space="preserve">Azul: va después</t>
  </si>
  <si>
    <t xml:space="preserve">Especificidad: (1,1,1) gana a (0,2,1). El orden solo decide si empatan.</t>
  </si>
  <si>
    <t xml:space="preserve">fe-css-S2</t>
  </si>
  <si>
    <t xml:space="preserve">Con la encapsulación de Angular o CSS Modules, ¿tiene sentido BEM?</t>
  </si>
  <si>
    <t xml:space="preserve">Sí, para estilos globales y librerías compartidas, y como convención legible; dentro de un componente aislado es menos necesario</t>
  </si>
  <si>
    <t xml:space="preserve">No, está prohibido</t>
  </si>
  <si>
    <t xml:space="preserve">Solo en proyectos sin JavaScript</t>
  </si>
  <si>
    <t xml:space="preserve">Solo para colores</t>
  </si>
  <si>
    <t xml:space="preserve">La encapsulación evita choques entre componentes, pero los estilos globales siguen necesitando una convención.</t>
  </si>
  <si>
    <t xml:space="preserve">fe-css-S3</t>
  </si>
  <si>
    <t xml:space="preserve">Una tarjeta debe cambiar de diseño según el ancho de su contenedor, no de la pantalla. ¿Qué usas?</t>
  </si>
  <si>
    <t xml:space="preserve">Container queries (`container-type` + `@container`)</t>
  </si>
  <si>
    <t xml:space="preserve">Media queries</t>
  </si>
  <si>
    <t xml:space="preserve">JavaScript con resize</t>
  </si>
  <si>
    <t xml:space="preserve">Grid areas</t>
  </si>
  <si>
    <t xml:space="preserve">Así el mismo componente se adapta igual en una barra lateral que en el contenido principal.</t>
  </si>
  <si>
    <t xml:space="preserve">fe-css-S4</t>
  </si>
  <si>
    <t xml:space="preserve">¿Qué ocupa `header`?</t>
  </si>
  <si>
    <t xml:space="preserve">.layout {
  display: grid;
  grid-template-areas:
    "header header"
    "sidebar main";
  grid-template-columns: 240px 1fr;
}</t>
  </si>
  <si>
    <t xml:space="preserve">Las dos columnas de la primera fila</t>
  </si>
  <si>
    <t xml:space="preserve">Solo la primera columna</t>
  </si>
  <si>
    <t xml:space="preserve">Toda la página</t>
  </si>
  <si>
    <t xml:space="preserve">La columna de 240px</t>
  </si>
  <si>
    <t xml:space="preserve">Cada cadena de `grid-template-areas` es una fila; repetir un nombre lo extiende por varias celdas.</t>
  </si>
  <si>
    <t xml:space="preserve">fe-ts-J1</t>
  </si>
  <si>
    <t xml:space="preserve">¿Por qué compila `v.toUpperCase()`?</t>
  </si>
  <si>
    <t xml:space="preserve">function format(v: string | number) {
  if (typeof v === 'number') return v.toFixed(2);
  return v.toUpperCase();
}</t>
  </si>
  <si>
    <t xml:space="preserve">Tras descartar number, TypeScript estrecha `v` a string</t>
  </si>
  <si>
    <t xml:space="preserve">Porque number también tiene toUpperCase</t>
  </si>
  <si>
    <t xml:space="preserve">Porque TypeScript no comprueba los return</t>
  </si>
  <si>
    <t xml:space="preserve">Es el narrowing: `typeof`, `in`, `instanceof` y comparaciones reducen el tipo dentro de cada rama.</t>
  </si>
  <si>
    <t xml:space="preserve">fe-ts-J2</t>
  </si>
  <si>
    <t xml:space="preserve">¿Diferencia entre `any` y `unknown`?</t>
  </si>
  <si>
    <t xml:space="preserve">unknown obliga a comprobar el tipo antes de usarlo; any desactiva las comprobaciones</t>
  </si>
  <si>
    <t xml:space="preserve">unknown solo vale para números</t>
  </si>
  <si>
    <t xml:space="preserve">any es más seguro</t>
  </si>
  <si>
    <t xml:space="preserve">Para datos externos (JSON, APIs), mejor `unknown` y validar.</t>
  </si>
  <si>
    <t xml:space="preserve">fe-ts-J3</t>
  </si>
  <si>
    <t xml:space="preserve">¿Diferencia práctica entre `interface` y `type`?</t>
  </si>
  <si>
    <t xml:space="preserve">Las interfaces se extienden y fusionan; `type` admite uniones, intersecciones y tipos más complejos. Para objetos, ambos sirven</t>
  </si>
  <si>
    <t xml:space="preserve">interface no existe en TypeScript moderno</t>
  </si>
  <si>
    <t xml:space="preserve">type no admite objetos</t>
  </si>
  <si>
    <t xml:space="preserve">interface es solo para clases</t>
  </si>
  <si>
    <t xml:space="preserve">Muchos equipos usan interface para objetos y type para el resto, pero lo importante es ser consistente.</t>
  </si>
  <si>
    <t xml:space="preserve">fe-ts-J4</t>
  </si>
  <si>
    <t xml:space="preserve">Para marcar una propiedad como opcional se escribe `email___: string`.</t>
  </si>
  <si>
    <t xml:space="preserve">?</t>
  </si>
  <si>
    <t xml:space="preserve">!</t>
  </si>
  <si>
    <t xml:space="preserve">*</t>
  </si>
  <si>
    <t xml:space="preserve">??</t>
  </si>
  <si>
    <t xml:space="preserve">`email?: string` equivale a `string | undefined` y permite omitirla.</t>
  </si>
  <si>
    <t xml:space="preserve">fe-ts-M1</t>
  </si>
  <si>
    <t xml:space="preserve">¿Qué es `UserPatch`?</t>
  </si>
  <si>
    <t xml:space="preserve">interface User { id: number; name: string; email: string; }
type UserPatch = Partial&lt;Omit&lt;User, 'id'&gt;&gt;;</t>
  </si>
  <si>
    <t xml:space="preserve">`{ name?: string; email?: string }`</t>
  </si>
  <si>
    <t xml:space="preserve">`{ id: number }`</t>
  </si>
  <si>
    <t xml:space="preserve">`{ id?: number; name?: string; email?: string }`</t>
  </si>
  <si>
    <t xml:space="preserve">Un error de compilación</t>
  </si>
  <si>
    <t xml:space="preserve">`Omit` quita `id` y `Partial` hace opcional el resto. Muy útil para PATCH.</t>
  </si>
  <si>
    <t xml:space="preserve">fe-ts-M2</t>
  </si>
  <si>
    <t xml:space="preserve">¿Qué tipo tiene `x`?</t>
  </si>
  <si>
    <t xml:space="preserve">function first&lt;T&gt;(items: T[]): T | undefined {
  return items[0];
}
const x = first(['a', 'b']);</t>
  </si>
  <si>
    <t xml:space="preserve">`string | undefined`</t>
  </si>
  <si>
    <t xml:space="preserve">`string[]`</t>
  </si>
  <si>
    <t xml:space="preserve">`any`</t>
  </si>
  <si>
    <t xml:space="preserve">`unknown`</t>
  </si>
  <si>
    <t xml:space="preserve">El genérico T se infiere como string a partir del argumento.</t>
  </si>
  <si>
    <t xml:space="preserve">fe-ts-M3</t>
  </si>
  <si>
    <t xml:space="preserve">Dentro de `if (s.status === 'success')`, ¿qué puedes usar?</t>
  </si>
  <si>
    <t xml:space="preserve">type State =
  | { status: 'loading' }
  | { status: 'success'; data: User[] }
  | { status: 'error'; message: string };</t>
  </si>
  <si>
    <t xml:space="preserve">`s.data`, porque TypeScript estrecha al tipo success</t>
  </si>
  <si>
    <t xml:space="preserve">`s.message`</t>
  </si>
  <si>
    <t xml:space="preserve">Nada: hay que hacer un cast</t>
  </si>
  <si>
    <t xml:space="preserve">`s.data` y `s.message`</t>
  </si>
  <si>
    <t xml:space="preserve">Es una unión discriminada: la propiedad `status` identifica cada variante.</t>
  </si>
  <si>
    <t xml:space="preserve">fe-ts-M4</t>
  </si>
  <si>
    <t xml:space="preserve">¿A qué obliga `Record&lt;Status, string&gt;`?</t>
  </si>
  <si>
    <t xml:space="preserve">type Status = 'open' | 'closed';
const labels: Record&lt;Status, string&gt; = {
  open: 'Abierto',
  closed: 'Cerrado',
};</t>
  </si>
  <si>
    <t xml:space="preserve">A tener exactamente una entrada para cada estado; si falta una, error de compilación</t>
  </si>
  <si>
    <t xml:space="preserve">A nada, es solo documentación</t>
  </si>
  <si>
    <t xml:space="preserve">A que los valores sean de tipo Status</t>
  </si>
  <si>
    <t xml:space="preserve">A que haya como máximo dos claves</t>
  </si>
  <si>
    <t xml:space="preserve">Si mañana añades un estado nuevo, el compilador te dirá dónde falta su etiqueta.</t>
  </si>
  <si>
    <t xml:space="preserve">fe-ts-S1</t>
  </si>
  <si>
    <t xml:space="preserve">¿Qué hace este tipo?</t>
  </si>
  <si>
    <t xml:space="preserve">type Nullable&lt;T&gt; = { [K in keyof T]: T[K] | null };</t>
  </si>
  <si>
    <t xml:space="preserve">Crea un tipo con las mismas propiedades de T, pero cada una puede ser null</t>
  </si>
  <si>
    <t xml:space="preserve">Hace T opcional</t>
  </si>
  <si>
    <t xml:space="preserve">Elimina las propiedades null de T</t>
  </si>
  <si>
    <t xml:space="preserve">Convierte T en un array</t>
  </si>
  <si>
    <t xml:space="preserve">Es un mapped type: recorre las claves de T y transforma cada propiedad.</t>
  </si>
  <si>
    <t xml:space="preserve">fe-ts-S2</t>
  </si>
  <si>
    <t xml:space="preserve">¿Ventaja de `satisfies` frente a anotar `: Record&lt;string, string&gt;`?</t>
  </si>
  <si>
    <t xml:space="preserve">const routes = {
  home: '/',
  users: '/users',
} satisfies Record&lt;string, string&gt;;</t>
  </si>
  <si>
    <t xml:space="preserve">Comprueba que encaja con el tipo pero conserva los tipos literales y las claves concretas</t>
  </si>
  <si>
    <t xml:space="preserve">Es más rápido en ejecución</t>
  </si>
  <si>
    <t xml:space="preserve">Permite cualquier valor</t>
  </si>
  <si>
    <t xml:space="preserve">Con la anotación, `routes.home` sería solo `string` y `routes.otra` no daría error. Con satisfies, sí.</t>
  </si>
  <si>
    <t xml:space="preserve">fe-ts-S3</t>
  </si>
  <si>
    <t xml:space="preserve">¿Qué ocurre si no se trata el caso `'error'`?</t>
  </si>
  <si>
    <t xml:space="preserve">function label(s: State): string {
  switch (s.status) {
    case 'loading': return 'Cargando…';
    case 'success': return 'Listo';
    default: {
      const unreachable: never = s;
      return unreachable;
    }
  }
}</t>
  </si>
  <si>
    <t xml:space="preserve">Error de compilación: `s` no es `never`, así que el switch no es exhaustivo</t>
  </si>
  <si>
    <t xml:space="preserve">Devuelve undefined en silencio</t>
  </si>
  <si>
    <t xml:space="preserve">Lanza una excepción en ejecución</t>
  </si>
  <si>
    <t xml:space="preserve">Asignar a `never` en el default obliga a tratar todos los casos cuando se añade uno nuevo.</t>
  </si>
  <si>
    <t xml:space="preserve">fe-ts-S4</t>
  </si>
  <si>
    <t xml:space="preserve">`ElementType&lt;string[]&gt;` es…</t>
  </si>
  <si>
    <t xml:space="preserve">type ElementType&lt;T&gt; = T extends (infer U)[] ? U : never;</t>
  </si>
  <si>
    <t xml:space="preserve">string</t>
  </si>
  <si>
    <t xml:space="preserve">string[]</t>
  </si>
  <si>
    <t xml:space="preserve">never</t>
  </si>
  <si>
    <t xml:space="preserve">unknown</t>
  </si>
  <si>
    <t xml:space="preserve">`infer` captura un tipo dentro de un tipo condicional: aquí el tipo de los elementos del array.</t>
  </si>
  <si>
    <t xml:space="preserve">fe-arch-J1</t>
  </si>
  <si>
    <t xml:space="preserve">¿Qué es separar componentes contenedores y presentacionales?</t>
  </si>
  <si>
    <t xml:space="preserve">Los contenedores obtienen datos y coordinan; los presentacionales solo reciben datos y emiten eventos</t>
  </si>
  <si>
    <t xml:space="preserve">Separar HTML y CSS en archivos distintos</t>
  </si>
  <si>
    <t xml:space="preserve">Tener un componente por página</t>
  </si>
  <si>
    <t xml:space="preserve">Usar solo componentes de una librería</t>
  </si>
  <si>
    <t xml:space="preserve">Los presentacionales son fáciles de reutilizar y testear.</t>
  </si>
  <si>
    <t xml:space="preserve">fe-arch-J2</t>
  </si>
  <si>
    <t xml:space="preserve">¿Por qué no llamar a la API directamente desde los componentes?</t>
  </si>
  <si>
    <t xml:space="preserve">Centralizar el acceso en servicios facilita reutilizar, testear y cambiar la API sin tocar la UI</t>
  </si>
  <si>
    <t xml:space="preserve">Porque está prohibido</t>
  </si>
  <si>
    <t xml:space="preserve">Porque es más lento</t>
  </si>
  <si>
    <t xml:space="preserve">Para no usar HTTPS</t>
  </si>
  <si>
    <t xml:space="preserve">Los componentes piden datos a un servicio; el servicio sabe cómo hablar con el backend.</t>
  </si>
  <si>
    <t xml:space="preserve">fe-arch-J3</t>
  </si>
  <si>
    <t xml:space="preserve">¿Cómo organizarías las carpetas de una app mediana?</t>
  </si>
  <si>
    <t xml:space="preserve">Por funcionalidad (users/, orders/) con sus componentes, servicios y tests juntos</t>
  </si>
  <si>
    <t xml:space="preserve">Una carpeta por tipo: todos los componentes juntos, todos los servicios juntos</t>
  </si>
  <si>
    <t xml:space="preserve">Todo en una carpeta</t>
  </si>
  <si>
    <t xml:space="preserve">Una carpeta por desarrollador</t>
  </si>
  <si>
    <t xml:space="preserve">Agrupar por dominio escala mejor y deja claro qué depende de qué.</t>
  </si>
  <si>
    <t xml:space="preserve">fe-arch-J4</t>
  </si>
  <si>
    <t xml:space="preserve">¿Qué es un monorepo?</t>
  </si>
  <si>
    <t xml:space="preserve">Un único repositorio con varias apps y librerías que comparten código y herramientas (p. ej. Nx)</t>
  </si>
  <si>
    <t xml:space="preserve">Un repositorio con un solo archivo</t>
  </si>
  <si>
    <t xml:space="preserve">Una app sin dependencias</t>
  </si>
  <si>
    <t xml:space="preserve">Un servidor con varias webs</t>
  </si>
  <si>
    <t xml:space="preserve">Facilita compartir código y hacer cambios que afectan a varias apps a la vez.</t>
  </si>
  <si>
    <t xml:space="preserve">fe-arch-M1</t>
  </si>
  <si>
    <t xml:space="preserve">¿Qué es un EventBus?</t>
  </si>
  <si>
    <t xml:space="preserve">Un canal donde se publican eventos («algo ha pasado») y cualquier parte interesada se suscribe, sin que emisor y receptores se conozcan</t>
  </si>
  <si>
    <t xml:space="preserve">Un bus de datos del hardware</t>
  </si>
  <si>
    <t xml:space="preserve">Un sistema de rutas</t>
  </si>
  <si>
    <t xml:space="preserve">Desacopla módulos: quien emite no sabe quién escucha.</t>
  </si>
  <si>
    <t xml:space="preserve">fe-arch-M2</t>
  </si>
  <si>
    <t xml:space="preserve">¿Qué es un CommandBus?</t>
  </si>
  <si>
    <t xml:space="preserve">Un canal que recibe comandos («haz esto») y los envía a un único manejador responsable de ejecutarlos</t>
  </si>
  <si>
    <t xml:space="preserve">Una terminal de comandos</t>
  </si>
  <si>
    <t xml:space="preserve">Un EventBus con otro nombre</t>
  </si>
  <si>
    <t xml:space="preserve">Una cola de peticiones HTTP</t>
  </si>
  <si>
    <t xml:space="preserve">Centraliza la ejecución de acciones y permite añadir middlewares (logs, permisos, validación).</t>
  </si>
  <si>
    <t xml:space="preserve">fe-arch-M3</t>
  </si>
  <si>
    <t xml:space="preserve">¿Diferencia clave entre evento y comando?</t>
  </si>
  <si>
    <t xml:space="preserve">Un evento describe algo que ya ocurrió y puede tener 0..N oyentes; un comando expresa una intención y tiene exactamente un manejador</t>
  </si>
  <si>
    <t xml:space="preserve">Los eventos van al servidor y los comandos no</t>
  </si>
  <si>
    <t xml:space="preserve">Un comando siempre es síncrono</t>
  </si>
  <si>
    <t xml:space="preserve">Eventos en pasado (`OrderPlaced`), comandos en imperativo (`PlaceOrder`).</t>
  </si>
  <si>
    <t xml:space="preserve">fe-arch-M4</t>
  </si>
  <si>
    <t xml:space="preserve">Un componente se suscribe con `on('cartUpdated', ...)` después de que alguien emita. ¿Recibe ese evento?</t>
  </si>
  <si>
    <t xml:space="preserve">type Handler = (payload: unknown) =&gt; void;
class EventBus {
  private handlers = new Map&lt;string, Handler[]&gt;();
  on(type: string, handler: Handler) {
    this.handlers.set(type, [...(this.handlers.get(type) ?? []), handler]);
  }
  emit(type: string, payload: unknown) {
    (this.handlers.get(type) ?? []).forEach(h =&gt; h(payload));
  }
}</t>
  </si>
  <si>
    <t xml:space="preserve">No: este bus no guarda eventos, solo avisa a quien ya está suscrito</t>
  </si>
  <si>
    <t xml:space="preserve">Sí, pero dos veces</t>
  </si>
  <si>
    <t xml:space="preserve">Solo si el evento es síncrono</t>
  </si>
  <si>
    <t xml:space="preserve">Si un suscriptor tardío necesita el último valor, hace falta estado (o un BehaviorSubject/ReplaySubject).</t>
  </si>
  <si>
    <t xml:space="preserve">fe-arch-S1</t>
  </si>
  <si>
    <t xml:space="preserve">¿Riesgo principal de abusar de un EventBus global?</t>
  </si>
  <si>
    <t xml:space="preserve">Flujos difíciles de seguir: cualquiera emite y cualquiera escucha, y se pierde quién provoca qué</t>
  </si>
  <si>
    <t xml:space="preserve">Consume demasiada memoria siempre</t>
  </si>
  <si>
    <t xml:space="preserve">Obliga a usar microfrontends</t>
  </si>
  <si>
    <t xml:space="preserve">Úsalo para comunicación realmente desacoplada, con eventos tipados y documentados.</t>
  </si>
  <si>
    <t xml:space="preserve">fe-arch-S2</t>
  </si>
  <si>
    <t xml:space="preserve">¿Qué aporta un CommandBus con manejadores en una app grande?</t>
  </si>
  <si>
    <t xml:space="preserve">Las acciones pasan por un único punto: trazabilidad, tests de cada manejador y middlewares comunes (logs, permisos, errores)</t>
  </si>
  <si>
    <t xml:space="preserve">Elimina la necesidad de servicios</t>
  </si>
  <si>
    <t xml:space="preserve">Hace la app más rápida</t>
  </si>
  <si>
    <t xml:space="preserve">Sustituye al router</t>
  </si>
  <si>
    <t xml:space="preserve">Es la base de enfoques tipo CQRS: comandos para escribir, consultas o estado para leer.</t>
  </si>
  <si>
    <t xml:space="preserve">fe-arch-S3</t>
  </si>
  <si>
    <t xml:space="preserve">¿Qué es aplicar arquitectura hexagonal (puertos y adaptadores) en frontend?</t>
  </si>
  <si>
    <t xml:space="preserve">Separar el dominio de la infraestructura (HTTP, almacenamiento) con interfaces e implementaciones intercambiables</t>
  </si>
  <si>
    <t xml:space="preserve">Usar componentes con seis lados</t>
  </si>
  <si>
    <t xml:space="preserve">Tener seis capas obligatorias</t>
  </si>
  <si>
    <t xml:space="preserve">Hacer una app por equipo</t>
  </si>
  <si>
    <t xml:space="preserve">La UI y el dominio no dependen de cómo se obtienen los datos; puedes cambiar la API o mockearla fácilmente.</t>
  </si>
  <si>
    <t xml:space="preserve">fe-arch-S4</t>
  </si>
  <si>
    <t xml:space="preserve">¿Qué aportan los microfrontends y cuál es su principal coste?</t>
  </si>
  <si>
    <t xml:space="preserve">Despliegues independientes por equipo, a cambio de complejidad (versiones, dependencias compartidas, consistencia visual)</t>
  </si>
  <si>
    <t xml:space="preserve">Siempre mejoran el rendimiento</t>
  </si>
  <si>
    <t xml:space="preserve">Eliminan el design system</t>
  </si>
  <si>
    <t xml:space="preserve">Solo sirven para apps pequeñas</t>
  </si>
  <si>
    <t xml:space="preserve">Tienen sentido con varios equipos autónomos; para uno solo suelen ser sobreingeniería.</t>
  </si>
  <si>
    <t xml:space="preserve">fe-patterns-J1</t>
  </si>
  <si>
    <t xml:space="preserve">Una única instancia compartida por toda la app (un servicio global o una store) es el patrón…</t>
  </si>
  <si>
    <t xml:space="preserve">Factory</t>
  </si>
  <si>
    <t xml:space="preserve">Observer</t>
  </si>
  <si>
    <t xml:space="preserve">Decorator</t>
  </si>
  <si>
    <t xml:space="preserve">Ojo con abusar: el estado global compartido complica los tests.</t>
  </si>
  <si>
    <t xml:space="preserve">fe-patterns-J2</t>
  </si>
  <si>
    <t xml:space="preserve">Los Observables de RxJS se basan sobre todo en el patrón…</t>
  </si>
  <si>
    <t xml:space="preserve">Adapter</t>
  </si>
  <si>
    <t xml:space="preserve">Builder</t>
  </si>
  <si>
    <t xml:space="preserve">Un sujeto notifica a sus observadores cuando hay un valor nuevo.</t>
  </si>
  <si>
    <t xml:space="preserve">fe-patterns-J3</t>
  </si>
  <si>
    <t xml:space="preserve">¿Qué mejora de clean code es la más clara?</t>
  </si>
  <si>
    <t xml:space="preserve">function calc(a: number[], b: number) {
  return a.filter(x =&gt; x &gt; b).length;
}</t>
  </si>
  <si>
    <t xml:space="preserve">Nombres descriptivos, por ejemplo `countPricesAbove(prices, minPrice)`</t>
  </si>
  <si>
    <t xml:space="preserve">Añadir comentarios en cada línea</t>
  </si>
  <si>
    <t xml:space="preserve">Hacerla asíncrona</t>
  </si>
  <si>
    <t xml:space="preserve">Ponerla en una clase</t>
  </si>
  <si>
    <t xml:space="preserve">Un buen nombre hace innecesario el comentario.</t>
  </si>
  <si>
    <t xml:space="preserve">fe-patterns-J4</t>
  </si>
  <si>
    <t xml:space="preserve">¿Qué significa DRY?</t>
  </si>
  <si>
    <t xml:space="preserve">Don't Repeat Yourself: no duplicar lógica</t>
  </si>
  <si>
    <t xml:space="preserve">Delete Redundant Years</t>
  </si>
  <si>
    <t xml:space="preserve">Do Refactor Yearly</t>
  </si>
  <si>
    <t xml:space="preserve">Debug, Run, Yield</t>
  </si>
  <si>
    <t xml:space="preserve">Duplicar lógica obliga a corregir el mismo error en varios sitios.</t>
  </si>
  <si>
    <t xml:space="preserve">fe-patterns-M1</t>
  </si>
  <si>
    <t xml:space="preserve">¿Qué patrón es este?</t>
  </si>
  <si>
    <t xml:space="preserve">const shipping: Record&lt;Method, (kg: number) =&gt; number&gt; = {
  standard: kg =&gt; 3 + kg * 0.5,
  express:  kg =&gt; 8 + kg,
};
const cost = shipping[method](weight);</t>
  </si>
  <si>
    <t xml:space="preserve">Strategy: se elige el algoritmo en tiempo de ejecución</t>
  </si>
  <si>
    <t xml:space="preserve">Facade</t>
  </si>
  <si>
    <t xml:space="preserve">Añadir un método de envío nuevo es añadir una entrada, sin tocar el resto.</t>
  </si>
  <si>
    <t xml:space="preserve">fe-patterns-M2</t>
  </si>
  <si>
    <t xml:space="preserve">Un `CartFacade` expone `add()` y `total$` y oculta la store, la API y la analítica. ¿Qué patrón es?</t>
  </si>
  <si>
    <t xml:space="preserve">Proxy</t>
  </si>
  <si>
    <t xml:space="preserve">Composite</t>
  </si>
  <si>
    <t xml:space="preserve">Una fachada da una interfaz simple a un subsistema complejo.</t>
  </si>
  <si>
    <t xml:space="preserve">fe-patterns-M3</t>
  </si>
  <si>
    <t xml:space="preserve">¿Qué principio incumple esta función?</t>
  </si>
  <si>
    <t xml:space="preserve">async function register(form: FormData) {
  if (!form.email.includes('@')) throw new Error('Email');
  const user = await db.users.insert(form);
  await mailer.send(user.email, 'Bienvenido');
  return user;
}</t>
  </si>
  <si>
    <t xml:space="preserve">Responsabilidad única (SRP): valida, guarda y envía emails</t>
  </si>
  <si>
    <t xml:space="preserve">Abierto/cerrado</t>
  </si>
  <si>
    <t xml:space="preserve">Sustitución de Liskov</t>
  </si>
  <si>
    <t xml:space="preserve">Mejor separar en piezas con una sola razón para cambiar.</t>
  </si>
  <si>
    <t xml:space="preserve">fe-patterns-M4</t>
  </si>
  <si>
    <t xml:space="preserve">Transformar la respuesta de la API (DTO) en tu modelo de dominio en una función propia es un ejemplo de…</t>
  </si>
  <si>
    <t xml:space="preserve">Adapter (o mapper)</t>
  </si>
  <si>
    <t xml:space="preserve">Command</t>
  </si>
  <si>
    <t xml:space="preserve">Si el backend cambia, solo tocas el adaptador.</t>
  </si>
  <si>
    <t xml:space="preserve">fe-patterns-S1</t>
  </si>
  <si>
    <t xml:space="preserve">¿Qué dice el principio de inversión de dependencias?</t>
  </si>
  <si>
    <t xml:space="preserve">Los módulos de alto nivel dependen de abstracciones, no de implementaciones concretas</t>
  </si>
  <si>
    <t xml:space="preserve">Las dependencias se instalan al revés</t>
  </si>
  <si>
    <t xml:space="preserve">Los hijos dependen de los padres</t>
  </si>
  <si>
    <t xml:space="preserve">Hay que evitar las librerías</t>
  </si>
  <si>
    <t xml:space="preserve">Es lo que permite sustituir una implementación (API real, mock) sin tocar a quien la usa.</t>
  </si>
  <si>
    <t xml:space="preserve">fe-patterns-S2</t>
  </si>
  <si>
    <t xml:space="preserve">¿Cuál es la refactorización más legible?</t>
  </si>
  <si>
    <t xml:space="preserve">function canEdit(user?: User, doc?: Doc) {
  if (user) {
    if (doc) {
      if (doc.ownerId === user.id || user.role === 'admin') {
        return true;
      }
    }
  }
  return false;
}</t>
  </si>
  <si>
    <t xml:space="preserve">Cláusulas de guarda: devolver false pronto si falta user o doc y dejar una sola condición final</t>
  </si>
  <si>
    <t xml:space="preserve">Añadir más comentarios</t>
  </si>
  <si>
    <t xml:space="preserve">Convertirla en una clase</t>
  </si>
  <si>
    <t xml:space="preserve">Usar un try/catch</t>
  </si>
  <si>
    <t xml:space="preserve">Menos anidamiento, misma lógica.</t>
  </si>
  <si>
    <t xml:space="preserve">fe-patterns-S3</t>
  </si>
  <si>
    <t xml:space="preserve">Añadir un método de pago nuevo sin modificar el código existente responde al principio…</t>
  </si>
  <si>
    <t xml:space="preserve">Abierto/cerrado: abierto a extensión, cerrado a modificación</t>
  </si>
  <si>
    <t xml:space="preserve">Responsabilidad única</t>
  </si>
  <si>
    <t xml:space="preserve">Segregación de interfaces</t>
  </si>
  <si>
    <t xml:space="preserve">DRY</t>
  </si>
  <si>
    <t xml:space="preserve">Se consigue registrando una nueva estrategia en lugar de añadir otro `if`.</t>
  </si>
  <si>
    <t xml:space="preserve">fe-patterns-S4</t>
  </si>
  <si>
    <t xml:space="preserve">¿Cuál es un code smell claro?</t>
  </si>
  <si>
    <t xml:space="preserve">Un componente de 800 líneas que pinta, llama a la API y gestiona estado global</t>
  </si>
  <si>
    <t xml:space="preserve">Un servicio con tests</t>
  </si>
  <si>
    <t xml:space="preserve">Una función pura de 10 líneas</t>
  </si>
  <si>
    <t xml:space="preserve">Un archivo de constantes</t>
  </si>
  <si>
    <t xml:space="preserve">Señal de que hay varias responsabilidades mezcladas: toca dividir.</t>
  </si>
  <si>
    <t xml:space="preserve">dev-git-J1</t>
  </si>
  <si>
    <t xml:space="preserve">¿Para qué sirve una rama?</t>
  </si>
  <si>
    <t xml:space="preserve">Trabajar en un cambio aislado sin afectar a main hasta integrarlo</t>
  </si>
  <si>
    <t xml:space="preserve">Hacer copias de seguridad</t>
  </si>
  <si>
    <t xml:space="preserve">Guardar contraseñas</t>
  </si>
  <si>
    <t xml:space="preserve">Desplegar en producción</t>
  </si>
  <si>
    <t xml:space="preserve">Cada funcionalidad o fix en su rama y se integra con una pull request.</t>
  </si>
  <si>
    <t xml:space="preserve">dev-git-J2</t>
  </si>
  <si>
    <t xml:space="preserve">¿Qué hace `git pull`?</t>
  </si>
  <si>
    <t xml:space="preserve">Descarga los cambios del remoto (fetch) y los integra en tu rama</t>
  </si>
  <si>
    <t xml:space="preserve">Sube tus commits</t>
  </si>
  <si>
    <t xml:space="preserve">Crea una rama</t>
  </si>
  <si>
    <t xml:space="preserve">Borra los cambios locales</t>
  </si>
  <si>
    <t xml:space="preserve">Equivale a `git fetch` + `git merge` (o rebase, según la configuración).</t>
  </si>
  <si>
    <t xml:space="preserve">dev-git-J3</t>
  </si>
  <si>
    <t xml:space="preserve">¿Qué significa esto en un archivo?</t>
  </si>
  <si>
    <t xml:space="preserve">&lt;&lt;&lt;&lt;&lt;&lt;&lt; HEAD
const limit = 10;
=======
const limit = 20;
&gt;&gt;&gt;&gt;&gt;&gt;&gt; feature/pagination</t>
  </si>
  <si>
    <t xml:space="preserve">Un conflicto: arriba tu versión (HEAD) y abajo la de feature/pagination; eliges o combinas y quitas las marcas</t>
  </si>
  <si>
    <t xml:space="preserve">Un error de sintaxis de JavaScript</t>
  </si>
  <si>
    <t xml:space="preserve">Que Git ha borrado el archivo</t>
  </si>
  <si>
    <t xml:space="preserve">Un comentario automático</t>
  </si>
  <si>
    <t xml:space="preserve">Después: `git add` del archivo y continuar el merge.</t>
  </si>
  <si>
    <t xml:space="preserve">dev-git-J4</t>
  </si>
  <si>
    <t xml:space="preserve">Para subir tus commits al remoto se usa `git ___`.</t>
  </si>
  <si>
    <t xml:space="preserve">push</t>
  </si>
  <si>
    <t xml:space="preserve">pull</t>
  </si>
  <si>
    <t xml:space="preserve">commit</t>
  </si>
  <si>
    <t xml:space="preserve">send</t>
  </si>
  <si>
    <t xml:space="preserve">`commit` guarda en local; `push` lo envía al remoto.</t>
  </si>
  <si>
    <t xml:space="preserve">dev-git-M1</t>
  </si>
  <si>
    <t xml:space="preserve">Un commit ya subido a main rompe producción. ¿Qué haces?</t>
  </si>
  <si>
    <t xml:space="preserve">`git revert &lt;hash&gt;`: crea un commit nuevo que deshace ese cambio sin reescribir el historial</t>
  </si>
  <si>
    <t xml:space="preserve">`git reset --hard` y `push --force`</t>
  </si>
  <si>
    <t xml:space="preserve">Borrar la rama main</t>
  </si>
  <si>
    <t xml:space="preserve">Editar el commit antiguo</t>
  </si>
  <si>
    <t xml:space="preserve">Revert es seguro en ramas compartidas porque no reescribe nada.</t>
  </si>
  <si>
    <t xml:space="preserve">dev-git-M2</t>
  </si>
  <si>
    <t xml:space="preserve">Necesitas un fix de develop en la rama release sin traer el resto. ¿Qué usas?</t>
  </si>
  <si>
    <t xml:space="preserve">`git cherry-pick &lt;hash&gt;` estando en release</t>
  </si>
  <si>
    <t xml:space="preserve">`git merge develop`</t>
  </si>
  <si>
    <t xml:space="preserve">`git rebase develop`</t>
  </si>
  <si>
    <t xml:space="preserve">Copiar y pegar los archivos</t>
  </si>
  <si>
    <t xml:space="preserve">Cherry-pick aplica un commit concreto en otra rama (con un hash nuevo).</t>
  </si>
  <si>
    <t xml:space="preserve">dev-git-M3</t>
  </si>
  <si>
    <t xml:space="preserve">¿Diferencia entre merge y rebase?</t>
  </si>
  <si>
    <t xml:space="preserve">merge une las ramas con un commit de merge conservando el historial; rebase reaplica tus commits encima de la otra rama y deja un historial lineal</t>
  </si>
  <si>
    <t xml:space="preserve">rebase borra la otra rama</t>
  </si>
  <si>
    <t xml:space="preserve">merge solo funciona en remoto</t>
  </si>
  <si>
    <t xml:space="preserve">Rebase da un historial más limpio, pero reescribe tus commits.</t>
  </si>
  <si>
    <t xml:space="preserve">dev-git-M4</t>
  </si>
  <si>
    <t xml:space="preserve">Ordena los pasos para resolver un conflicto al hacer merge</t>
  </si>
  <si>
    <t xml:space="preserve">git merge feature/login | Editar los archivos en conflicto y quitar las marcas | git add de los archivos resueltos | git commit (o git merge --continue)</t>
  </si>
  <si>
    <t xml:space="preserve">Hasta que no haces `git add`, Git considera el conflicto sin resolver.</t>
  </si>
  <si>
    <t xml:space="preserve">dev-git-S1</t>
  </si>
  <si>
    <t xml:space="preserve">¿Por qué no hacer rebase de una rama ya compartida?</t>
  </si>
  <si>
    <t xml:space="preserve">Reescribe commits que otros ya tienen; obliga a forzar el push y puede hacer perder trabajo ajeno</t>
  </si>
  <si>
    <t xml:space="preserve">Porque borra el historial de main</t>
  </si>
  <si>
    <t xml:space="preserve">Regla práctica: rebase en tus ramas locales, merge en las compartidas.</t>
  </si>
  <si>
    <t xml:space="preserve">dev-git-S2</t>
  </si>
  <si>
    <t xml:space="preserve">¿Qué indica `-m 1`?</t>
  </si>
  <si>
    <t xml:space="preserve">git revert -m 1 &lt;hash-del-merge&gt;</t>
  </si>
  <si>
    <t xml:space="preserve">Qué padre del merge se toma como línea principal (normalmente main), para deshacer lo que entró desde la otra rama</t>
  </si>
  <si>
    <t xml:space="preserve">Que solo se revierta 1 archivo</t>
  </si>
  <si>
    <t xml:space="preserve">El mensaje del commit</t>
  </si>
  <si>
    <t xml:space="preserve">Que se haga en modo silencioso</t>
  </si>
  <si>
    <t xml:space="preserve">Un commit de merge tiene dos padres; Git necesita saber respecto a cuál revertir.</t>
  </si>
  <si>
    <t xml:space="preserve">dev-git-S3</t>
  </si>
  <si>
    <t xml:space="preserve">Hiciste `git reset --hard` y perdiste commits locales. ¿Cómo los recuperas?</t>
  </si>
  <si>
    <t xml:space="preserve">`git reflog` para encontrar el hash anterior y `git reset --hard &lt;hash&gt;` (o crear una rama en él)</t>
  </si>
  <si>
    <t xml:space="preserve">`git pull`</t>
  </si>
  <si>
    <t xml:space="preserve">`git stash pop`</t>
  </si>
  <si>
    <t xml:space="preserve">El reflog guarda por dónde ha pasado HEAD durante un tiempo.</t>
  </si>
  <si>
    <t xml:space="preserve">dev-git-S4</t>
  </si>
  <si>
    <t xml:space="preserve">Si tienes que forzar un push tras un rebase, ¿qué opción es más segura?</t>
  </si>
  <si>
    <t xml:space="preserve">`git push --force-with-lease`: falla si el remoto tiene commits que no tienes</t>
  </si>
  <si>
    <t xml:space="preserve">`git push --force`</t>
  </si>
  <si>
    <t xml:space="preserve">`git push -u`</t>
  </si>
  <si>
    <t xml:space="preserve">Borrar la rama remota antes</t>
  </si>
  <si>
    <t xml:space="preserve">Así no pisas sin querer el trabajo que otra persona subió mientras tanto.</t>
  </si>
  <si>
    <t xml:space="preserve">dev-docker-J1</t>
  </si>
  <si>
    <t xml:space="preserve">dev-docker-J2</t>
  </si>
  <si>
    <t xml:space="preserve">¿Qué comando lista los contenedores en ejecución?</t>
  </si>
  <si>
    <t xml:space="preserve">`docker ps`</t>
  </si>
  <si>
    <t xml:space="preserve">`docker images`</t>
  </si>
  <si>
    <t xml:space="preserve">`docker ls`</t>
  </si>
  <si>
    <t xml:space="preserve">`docker run`</t>
  </si>
  <si>
    <t xml:space="preserve">`docker ps -a` muestra también los detenidos.</t>
  </si>
  <si>
    <t xml:space="preserve">dev-docker-J3</t>
  </si>
  <si>
    <t xml:space="preserve">¿Qué hace `-p 8080:80`?</t>
  </si>
  <si>
    <t xml:space="preserve">docker run -d -p 8080:80 nginx</t>
  </si>
  <si>
    <t xml:space="preserve">Publica el puerto 80 del contenedor en el 8080 de tu máquina</t>
  </si>
  <si>
    <t xml:space="preserve">Limita la memoria a 80 MB</t>
  </si>
  <si>
    <t xml:space="preserve">Crea 80 réplicas</t>
  </si>
  <si>
    <t xml:space="preserve">Abre el puerto 8080 dentro del contenedor</t>
  </si>
  <si>
    <t xml:space="preserve">Formato `host:contenedor`. `-d` lo ejecuta en segundo plano.</t>
  </si>
  <si>
    <t xml:space="preserve">dev-docker-J4</t>
  </si>
  <si>
    <t xml:space="preserve">Para ver los logs de un contenedor se usa `docker ___ &lt;nombre&gt;`.</t>
  </si>
  <si>
    <t xml:space="preserve">logs</t>
  </si>
  <si>
    <t xml:space="preserve">inspect</t>
  </si>
  <si>
    <t xml:space="preserve">ps</t>
  </si>
  <si>
    <t xml:space="preserve">attach</t>
  </si>
  <si>
    <t xml:space="preserve">Con `-f` sigue mostrando los nuevos en tiempo real.</t>
  </si>
  <si>
    <t xml:space="preserve">dev-docker-M1</t>
  </si>
  <si>
    <t xml:space="preserve">¿Diferencia entre `docker stop` y `docker rm`?</t>
  </si>
  <si>
    <t xml:space="preserve">stop detiene el contenedor (se puede volver a arrancar); rm lo elimina</t>
  </si>
  <si>
    <t xml:space="preserve">rm detiene y stop elimina</t>
  </si>
  <si>
    <t xml:space="preserve">stop borra la imagen</t>
  </si>
  <si>
    <t xml:space="preserve">`docker rm -f` detiene y elimina a la vez.</t>
  </si>
  <si>
    <t xml:space="preserve">dev-docker-M2</t>
  </si>
  <si>
    <t xml:space="preserve">¿Cómo se conecta `api` a la base de datos?</t>
  </si>
  <si>
    <t xml:space="preserve">services:
  api:
    build: .
    ports: ["3000:3000"]
    depends_on: [db]
  db:
    image: postgres:16
    environment:
      POSTGRES_PASSWORD: secret</t>
  </si>
  <si>
    <t xml:space="preserve">Usando el nombre del servicio como host (`db:5432`), porque compose crea una red común</t>
  </si>
  <si>
    <t xml:space="preserve">Con localhost:5432</t>
  </si>
  <si>
    <t xml:space="preserve">Con la IP pública del ordenador</t>
  </si>
  <si>
    <t xml:space="preserve">No pueden conectarse</t>
  </si>
  <si>
    <t xml:space="preserve">Dentro de un contenedor, `localhost` es el propio contenedor, no los demás.</t>
  </si>
  <si>
    <t xml:space="preserve">dev-docker-M3</t>
  </si>
  <si>
    <t xml:space="preserve">Al borrar el contenedor de Postgres pierdes los datos. ¿Qué falta?</t>
  </si>
  <si>
    <t xml:space="preserve">Un volumen para persistir `/var/lib/postgresql/data`</t>
  </si>
  <si>
    <t xml:space="preserve">Más memoria</t>
  </si>
  <si>
    <t xml:space="preserve">Un puerto publicado</t>
  </si>
  <si>
    <t xml:space="preserve">Ejecutarlo con -d</t>
  </si>
  <si>
    <t xml:space="preserve">Lo que se escribe dentro del contenedor desaparece con él; los volúmenes sobreviven.</t>
  </si>
  <si>
    <t xml:space="preserve">dev-docker-M4</t>
  </si>
  <si>
    <t xml:space="preserve">¿Qué hace `docker compose up -d --build`?</t>
  </si>
  <si>
    <t xml:space="preserve">Reconstruye las imágenes y levanta todos los servicios en segundo plano</t>
  </si>
  <si>
    <t xml:space="preserve">Solo construye</t>
  </si>
  <si>
    <t xml:space="preserve">Para los contenedores</t>
  </si>
  <si>
    <t xml:space="preserve">Sube las imágenes a Docker Hub</t>
  </si>
  <si>
    <t xml:space="preserve">`docker compose down` los para y elimina (los volúmenes se mantienen salvo con `-v`).</t>
  </si>
  <si>
    <t xml:space="preserve">dev-docker-S1</t>
  </si>
  <si>
    <t xml:space="preserve">Dos contenedores en redes Docker distintas no se ven. ¿Qué haces?</t>
  </si>
  <si>
    <t xml:space="preserve">Conectarlos a la misma red definida por el usuario (`docker network connect` o declararla en compose)</t>
  </si>
  <si>
    <t xml:space="preserve">Publicar todos los puertos en el host</t>
  </si>
  <si>
    <t xml:space="preserve">Usar la IP del contenedor a mano</t>
  </si>
  <si>
    <t xml:space="preserve">Reinstalar Docker</t>
  </si>
  <si>
    <t xml:space="preserve">En las redes de usuario además funciona la resolución por nombre.</t>
  </si>
  <si>
    <t xml:space="preserve">dev-docker-S2</t>
  </si>
  <si>
    <t xml:space="preserve">¿Para qué sirve `docker exec -it api sh`?</t>
  </si>
  <si>
    <t xml:space="preserve">Abrir una shell dentro del contenedor en ejecución para depurar</t>
  </si>
  <si>
    <t xml:space="preserve">Crear un contenedor nuevo</t>
  </si>
  <si>
    <t xml:space="preserve">Ver los logs</t>
  </si>
  <si>
    <t xml:space="preserve">Reiniciar el contenedor</t>
  </si>
  <si>
    <t xml:space="preserve">Útil para revisar archivos, variables de entorno o probar conexiones desde dentro.</t>
  </si>
  <si>
    <t xml:space="preserve">dev-docker-S3</t>
  </si>
  <si>
    <t xml:space="preserve">¿Qué ventaja tiene este Dockerfile?</t>
  </si>
  <si>
    <t xml:space="preserve">FROM node:22 AS build
WORKDIR /app
COPY package*.json ./
RUN npm ci
COPY . .
RUN npm run build
FROM nginx:alpine
COPY --from=build /app/dist /usr/share/nginx/html</t>
  </si>
  <si>
    <t xml:space="preserve">La imagen final solo lleva nginx y los archivos estáticos, sin Node ni node_modules: mucho más pequeña</t>
  </si>
  <si>
    <t xml:space="preserve">Compila más rápido siempre</t>
  </si>
  <si>
    <t xml:space="preserve">Permite usar dos versiones de Node</t>
  </si>
  <si>
    <t xml:space="preserve">Es un build multi-stage: se compila en una etapa y se copia solo el resultado.</t>
  </si>
  <si>
    <t xml:space="preserve">dev-docker-S4</t>
  </si>
  <si>
    <t xml:space="preserve">¿Por qué copiar `package*.json` y hacer `npm ci` antes de `COPY . .`?</t>
  </si>
  <si>
    <t xml:space="preserve">Para aprovechar la caché de capas: si solo cambia el código, no se reinstalan las dependencias</t>
  </si>
  <si>
    <t xml:space="preserve">Porque npm no funciona después</t>
  </si>
  <si>
    <t xml:space="preserve">Para que la imagen pese más</t>
  </si>
  <si>
    <t xml:space="preserve">Es obligatorio en Docker</t>
  </si>
  <si>
    <t xml:space="preserve">Cada instrucción es una capa; si sus entradas no cambian, se reutiliza.</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</si>
</sst>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8"/>
      <color rgb="FF1E3A6E"/>
      <name val="Arial"/>
      <family val="0"/>
      <charset val="1"/>
    </font>
    <font>
      <sz val="11"/>
      <color rgb="FF5A6680"/>
      <name val="Arial"/>
      <family val="0"/>
      <charset val="1"/>
    </font>
    <font>
      <b val="true"/>
      <sz val="12"/>
      <color rgb="FF1E3A6E"/>
      <name val="Arial"/>
      <family val="0"/>
      <charset val="1"/>
    </font>
    <font>
      <b val="true"/>
      <sz val="10"/>
      <name val="Arial"/>
      <family val="0"/>
      <charset val="1"/>
    </font>
    <font>
      <sz val="10"/>
      <name val="Arial"/>
      <family val="0"/>
      <charset val="1"/>
    </font>
    <font>
      <b val="true"/>
      <sz val="10"/>
      <color rgb="FFFFFFFF"/>
      <name val="Arial"/>
      <family val="0"/>
      <charset val="1"/>
    </font>
    <font>
      <sz val="9"/>
      <name val="Consolas"/>
      <family val="0"/>
      <charset val="1"/>
    </font>
  </fonts>
  <fills count="6">
    <fill>
      <patternFill patternType="none"/>
    </fill>
    <fill>
      <patternFill patternType="gray125"/>
    </fill>
    <fill>
      <patternFill patternType="solid">
        <fgColor rgb="FF1E3A6E"/>
        <bgColor rgb="FF333399"/>
      </patternFill>
    </fill>
    <fill>
      <patternFill patternType="solid">
        <fgColor rgb="FFEEF2F8"/>
        <bgColor rgb="FFF1F3F7"/>
      </patternFill>
    </fill>
    <fill>
      <patternFill patternType="solid">
        <fgColor rgb="FFFFF6DD"/>
        <bgColor rgb="FFF1F3F7"/>
      </patternFill>
    </fill>
    <fill>
      <patternFill patternType="solid">
        <fgColor rgb="FFF1F3F7"/>
        <bgColor rgb="FFEEF2F8"/>
      </patternFill>
    </fill>
  </fills>
  <borders count="3">
    <border diagonalUp="false" diagonalDown="false">
      <left/>
      <right/>
      <top/>
      <bottom/>
      <diagonal/>
    </border>
    <border diagonalUp="false" diagonalDown="false">
      <left style="thin">
        <color rgb="FFD3DAE6"/>
      </left>
      <right style="thin">
        <color rgb="FFD3DAE6"/>
      </right>
      <top style="thin">
        <color rgb="FFD3DAE6"/>
      </top>
      <bottom style="thin">
        <color rgb="FFD3DAE6"/>
      </bottom>
      <diagonal/>
    </border>
    <border diagonalUp="false" diagonalDown="false">
      <left/>
      <right/>
      <top style="medium">
        <color rgb="FF1E3A6E"/>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E3A6E"/>
          <bgColor rgb="FF000000"/>
        </patternFill>
      </fill>
    </dxf>
    <dxf>
      <fill>
        <patternFill patternType="solid">
          <bgColor rgb="FF000000"/>
        </patternFill>
      </fill>
    </dxf>
    <dxf>
      <fill>
        <patternFill patternType="solid">
          <fgColor rgb="FFFFFFFF"/>
          <bgColor rgb="FF000000"/>
        </patternFill>
      </fill>
    </dxf>
    <dxf>
      <fill>
        <patternFill patternType="solid">
          <fgColor rgb="FFFFF6DD"/>
          <bgColor rgb="FF000000"/>
        </patternFill>
      </fill>
    </dxf>
    <dxf>
      <fill>
        <patternFill patternType="solid">
          <fgColor rgb="FFF1F3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D"/>
      <rgbColor rgb="FFEEF2F8"/>
      <rgbColor rgb="FF660066"/>
      <rgbColor rgb="FFFF8080"/>
      <rgbColor rgb="FF0066CC"/>
      <rgbColor rgb="FFD3DAE6"/>
      <rgbColor rgb="FF000080"/>
      <rgbColor rgb="FFFF00FF"/>
      <rgbColor rgb="FFFFFF00"/>
      <rgbColor rgb="FF00FFFF"/>
      <rgbColor rgb="FF800080"/>
      <rgbColor rgb="FF800000"/>
      <rgbColor rgb="FF008080"/>
      <rgbColor rgb="FF0000FF"/>
      <rgbColor rgb="FF00CCFF"/>
      <rgbColor rgb="FFF1F3F7"/>
      <rgbColor rgb="FFCCFFCC"/>
      <rgbColor rgb="FFFFFF99"/>
      <rgbColor rgb="FF99CCFF"/>
      <rgbColor rgb="FFFF99CC"/>
      <rgbColor rgb="FFCC99FF"/>
      <rgbColor rgb="FFFFCC99"/>
      <rgbColor rgb="FF3366FF"/>
      <rgbColor rgb="FF33CCCC"/>
      <rgbColor rgb="FF99CC00"/>
      <rgbColor rgb="FFFFCC00"/>
      <rgbColor rgb="FFFF9900"/>
      <rgbColor rgb="FFFF6600"/>
      <rgbColor rgb="FF5A6680"/>
      <rgbColor rgb="FF969696"/>
      <rgbColor rgb="FF1E3A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35.05" hidden="false" customHeight="false" outlineLevel="0" collapsed="false">
      <c r="B6" s="4" t="s">
        <v>3</v>
      </c>
      <c r="C6" s="5" t="s">
        <v>4</v>
      </c>
    </row>
    <row r="7" customFormat="false" ht="23.85" hidden="false" customHeight="false" outlineLevel="0" collapsed="false">
      <c r="B7" s="4" t="s">
        <v>5</v>
      </c>
      <c r="C7" s="5" t="s">
        <v>6</v>
      </c>
    </row>
    <row r="8" customFormat="false" ht="15" hidden="false" customHeight="false" outlineLevel="0" collapsed="false">
      <c r="B8" s="4" t="s">
        <v>7</v>
      </c>
      <c r="C8" s="5" t="s">
        <v>8</v>
      </c>
    </row>
    <row r="10" customFormat="false" ht="15" hidden="false" customHeight="false" outlineLevel="0" collapsed="false">
      <c r="B10" s="3" t="s">
        <v>9</v>
      </c>
    </row>
    <row r="11" customFormat="false" ht="15" hidden="false" customHeight="false" outlineLevel="0" collapsed="false">
      <c r="B11" s="4" t="s">
        <v>10</v>
      </c>
      <c r="C11" s="5" t="s">
        <v>11</v>
      </c>
    </row>
    <row r="12" customFormat="false" ht="23.85" hidden="false" customHeight="false" outlineLevel="0" collapsed="false">
      <c r="B12" s="4" t="s">
        <v>12</v>
      </c>
      <c r="C12" s="5" t="s">
        <v>13</v>
      </c>
    </row>
    <row r="13" customFormat="false" ht="15" hidden="false" customHeight="false" outlineLevel="0" collapsed="false">
      <c r="B13" s="4" t="s">
        <v>14</v>
      </c>
      <c r="C13" s="5" t="s">
        <v>15</v>
      </c>
    </row>
    <row r="15" customFormat="false" ht="15" hidden="false" customHeight="false" outlineLevel="0" collapsed="false">
      <c r="B15" s="3" t="s">
        <v>16</v>
      </c>
    </row>
    <row r="16" customFormat="false" ht="15" hidden="false" customHeight="false" outlineLevel="0" collapsed="false">
      <c r="B16" s="4" t="s">
        <v>17</v>
      </c>
      <c r="C16" s="5" t="s">
        <v>18</v>
      </c>
    </row>
    <row r="17" customFormat="false" ht="15" hidden="false" customHeight="false" outlineLevel="0" collapsed="false">
      <c r="B17" s="4" t="s">
        <v>19</v>
      </c>
      <c r="C17" s="5" t="s">
        <v>20</v>
      </c>
    </row>
    <row r="18" customFormat="false" ht="15" hidden="false" customHeight="false" outlineLevel="0" collapsed="false">
      <c r="B18" s="4" t="s">
        <v>21</v>
      </c>
      <c r="C18" s="5" t="s">
        <v>22</v>
      </c>
    </row>
    <row r="19" customFormat="false" ht="23.85" hidden="false" customHeight="false" outlineLevel="0" collapsed="false">
      <c r="B19" s="4" t="s">
        <v>23</v>
      </c>
      <c r="C19" s="5" t="s">
        <v>24</v>
      </c>
    </row>
    <row r="21" customFormat="false" ht="15" hidden="false" customHeight="false" outlineLevel="0" collapsed="false">
      <c r="B21" s="3" t="s">
        <v>25</v>
      </c>
    </row>
    <row r="22" customFormat="false" ht="15" hidden="false" customHeight="false" outlineLevel="0" collapsed="false">
      <c r="B22" s="4" t="s">
        <v>26</v>
      </c>
      <c r="C22" s="5" t="s">
        <v>27</v>
      </c>
    </row>
    <row r="23" customFormat="false" ht="23.85" hidden="false" customHeight="false" outlineLevel="0" collapsed="false">
      <c r="B23" s="4" t="s">
        <v>28</v>
      </c>
      <c r="C23"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18"/>
    <col collapsed="false" customWidth="true" hidden="false" outlineLevel="0" max="7" min="4" style="0" width="9"/>
    <col collapsed="false" customWidth="true" hidden="false" outlineLevel="0" max="9" min="8" style="0" width="11"/>
    <col collapsed="false" customWidth="true" hidden="false" outlineLevel="0" max="10" min="10" style="0" width="9"/>
  </cols>
  <sheetData>
    <row r="1" customFormat="false" ht="24" hidden="false" customHeight="true" outlineLevel="0" collapsed="false">
      <c r="A1" s="6" t="s">
        <v>30</v>
      </c>
      <c r="B1" s="6" t="s">
        <v>31</v>
      </c>
      <c r="C1" s="6" t="s">
        <v>32</v>
      </c>
      <c r="D1" s="7" t="s">
        <v>33</v>
      </c>
      <c r="E1" s="7" t="s">
        <v>34</v>
      </c>
      <c r="F1" s="7" t="s">
        <v>35</v>
      </c>
      <c r="G1" s="7" t="s">
        <v>36</v>
      </c>
      <c r="H1" s="7" t="s">
        <v>37</v>
      </c>
      <c r="I1" s="7" t="s">
        <v>38</v>
      </c>
      <c r="J1" s="7" t="s">
        <v>39</v>
      </c>
    </row>
    <row r="2" customFormat="false" ht="15" hidden="false" customHeight="false" outlineLevel="0" collapsed="false">
      <c r="A2" s="8" t="s">
        <v>40</v>
      </c>
      <c r="B2" s="8" t="s">
        <v>41</v>
      </c>
      <c r="C2" s="9" t="s">
        <v>42</v>
      </c>
      <c r="D2" s="10" t="n">
        <f aca="false">COUNTIFS(Preguntas!$B$2:$B$3000,$A2,Preguntas!$C$2:$C$3000,$B2,Preguntas!$D$2:$D$3000,"Junior")</f>
        <v>3</v>
      </c>
      <c r="E2" s="10" t="n">
        <f aca="false">COUNTIFS(Preguntas!$B$2:$B$3000,$A2,Preguntas!$C$2:$C$3000,$B2,Preguntas!$D$2:$D$3000,"Mid")</f>
        <v>3</v>
      </c>
      <c r="F2" s="10" t="n">
        <f aca="false">COUNTIFS(Preguntas!$B$2:$B$3000,$A2,Preguntas!$C$2:$C$3000,$B2,Preguntas!$D$2:$D$3000,"Senior")</f>
        <v>3</v>
      </c>
      <c r="G2" s="10" t="n">
        <f aca="false">SUM(D2:F2)</f>
        <v>9</v>
      </c>
      <c r="H2" s="10" t="n">
        <f aca="false">COUNTIFS(Preguntas!$B$2:$B$3000,$A2,Preguntas!$C$2:$C$3000,$B2,Preguntas!$G$2:$G$3000,"?*")</f>
        <v>0</v>
      </c>
      <c r="I2" s="10" t="n">
        <f aca="false">COUNTIFS(Preguntas!$B$2:$B$3000,$A2,Preguntas!$C$2:$C$3000,$B2,Preguntas!$O$2:$O$3000,"Revisada")</f>
        <v>0</v>
      </c>
      <c r="J2" s="10" t="n">
        <f aca="false">COUNTIFS(Preguntas!$B$2:$B$3000,$A2,Preguntas!$C$2:$C$3000,$B2,Preguntas!$P$2:$P$3000,"Sí")</f>
        <v>9</v>
      </c>
    </row>
    <row r="3" customFormat="false" ht="15" hidden="false" customHeight="false" outlineLevel="0" collapsed="false">
      <c r="A3" s="8" t="s">
        <v>40</v>
      </c>
      <c r="B3" s="8" t="s">
        <v>43</v>
      </c>
      <c r="C3" s="9" t="s">
        <v>44</v>
      </c>
      <c r="D3" s="10" t="n">
        <f aca="false">COUNTIFS(Preguntas!$B$2:$B$3000,$A3,Preguntas!$C$2:$C$3000,$B3,Preguntas!$D$2:$D$3000,"Junior")</f>
        <v>3</v>
      </c>
      <c r="E3" s="10" t="n">
        <f aca="false">COUNTIFS(Preguntas!$B$2:$B$3000,$A3,Preguntas!$C$2:$C$3000,$B3,Preguntas!$D$2:$D$3000,"Mid")</f>
        <v>3</v>
      </c>
      <c r="F3" s="10" t="n">
        <f aca="false">COUNTIFS(Preguntas!$B$2:$B$3000,$A3,Preguntas!$C$2:$C$3000,$B3,Preguntas!$D$2:$D$3000,"Senior")</f>
        <v>3</v>
      </c>
      <c r="G3" s="10" t="n">
        <f aca="false">SUM(D3:F3)</f>
        <v>9</v>
      </c>
      <c r="H3" s="10" t="n">
        <f aca="false">COUNTIFS(Preguntas!$B$2:$B$3000,$A3,Preguntas!$C$2:$C$3000,$B3,Preguntas!$G$2:$G$3000,"?*")</f>
        <v>0</v>
      </c>
      <c r="I3" s="10" t="n">
        <f aca="false">COUNTIFS(Preguntas!$B$2:$B$3000,$A3,Preguntas!$C$2:$C$3000,$B3,Preguntas!$O$2:$O$3000,"Revisada")</f>
        <v>0</v>
      </c>
      <c r="J3" s="10" t="n">
        <f aca="false">COUNTIFS(Preguntas!$B$2:$B$3000,$A3,Preguntas!$C$2:$C$3000,$B3,Preguntas!$P$2:$P$3000,"Sí")</f>
        <v>9</v>
      </c>
    </row>
    <row r="4" customFormat="false" ht="15" hidden="false" customHeight="false" outlineLevel="0" collapsed="false">
      <c r="A4" s="8" t="s">
        <v>40</v>
      </c>
      <c r="B4" s="8" t="s">
        <v>45</v>
      </c>
      <c r="C4" s="9" t="s">
        <v>46</v>
      </c>
      <c r="D4" s="10" t="n">
        <f aca="false">COUNTIFS(Preguntas!$B$2:$B$3000,$A4,Preguntas!$C$2:$C$3000,$B4,Preguntas!$D$2:$D$3000,"Junior")</f>
        <v>3</v>
      </c>
      <c r="E4" s="10" t="n">
        <f aca="false">COUNTIFS(Preguntas!$B$2:$B$3000,$A4,Preguntas!$C$2:$C$3000,$B4,Preguntas!$D$2:$D$3000,"Mid")</f>
        <v>3</v>
      </c>
      <c r="F4" s="10" t="n">
        <f aca="false">COUNTIFS(Preguntas!$B$2:$B$3000,$A4,Preguntas!$C$2:$C$3000,$B4,Preguntas!$D$2:$D$3000,"Senior")</f>
        <v>3</v>
      </c>
      <c r="G4" s="10" t="n">
        <f aca="false">SUM(D4:F4)</f>
        <v>9</v>
      </c>
      <c r="H4" s="10" t="n">
        <f aca="false">COUNTIFS(Preguntas!$B$2:$B$3000,$A4,Preguntas!$C$2:$C$3000,$B4,Preguntas!$G$2:$G$3000,"?*")</f>
        <v>0</v>
      </c>
      <c r="I4" s="10" t="n">
        <f aca="false">COUNTIFS(Preguntas!$B$2:$B$3000,$A4,Preguntas!$C$2:$C$3000,$B4,Preguntas!$O$2:$O$3000,"Revisada")</f>
        <v>0</v>
      </c>
      <c r="J4" s="10" t="n">
        <f aca="false">COUNTIFS(Preguntas!$B$2:$B$3000,$A4,Preguntas!$C$2:$C$3000,$B4,Preguntas!$P$2:$P$3000,"Sí")</f>
        <v>9</v>
      </c>
    </row>
    <row r="5" customFormat="false" ht="15" hidden="false" customHeight="false" outlineLevel="0" collapsed="false">
      <c r="A5" s="11" t="s">
        <v>47</v>
      </c>
      <c r="B5" s="11" t="s">
        <v>48</v>
      </c>
      <c r="C5" s="12" t="s">
        <v>49</v>
      </c>
      <c r="D5" s="13" t="n">
        <f aca="false">COUNTIFS(Preguntas!$B$2:$B$3000,$A5,Preguntas!$C$2:$C$3000,$B5,Preguntas!$D$2:$D$3000,"Junior")</f>
        <v>4</v>
      </c>
      <c r="E5" s="13" t="n">
        <f aca="false">COUNTIFS(Preguntas!$B$2:$B$3000,$A5,Preguntas!$C$2:$C$3000,$B5,Preguntas!$D$2:$D$3000,"Mid")</f>
        <v>4</v>
      </c>
      <c r="F5" s="13" t="n">
        <f aca="false">COUNTIFS(Preguntas!$B$2:$B$3000,$A5,Preguntas!$C$2:$C$3000,$B5,Preguntas!$D$2:$D$3000,"Senior")</f>
        <v>4</v>
      </c>
      <c r="G5" s="13" t="n">
        <f aca="false">SUM(D5:F5)</f>
        <v>12</v>
      </c>
      <c r="H5" s="13" t="n">
        <f aca="false">COUNTIFS(Preguntas!$B$2:$B$3000,$A5,Preguntas!$C$2:$C$3000,$B5,Preguntas!$G$2:$G$3000,"?*")</f>
        <v>7</v>
      </c>
      <c r="I5" s="13" t="n">
        <f aca="false">COUNTIFS(Preguntas!$B$2:$B$3000,$A5,Preguntas!$C$2:$C$3000,$B5,Preguntas!$O$2:$O$3000,"Revisada")</f>
        <v>0</v>
      </c>
      <c r="J5" s="13" t="n">
        <f aca="false">COUNTIFS(Preguntas!$B$2:$B$3000,$A5,Preguntas!$C$2:$C$3000,$B5,Preguntas!$P$2:$P$3000,"Sí")</f>
        <v>12</v>
      </c>
    </row>
    <row r="6" customFormat="false" ht="15" hidden="false" customHeight="false" outlineLevel="0" collapsed="false">
      <c r="A6" s="11" t="s">
        <v>47</v>
      </c>
      <c r="B6" s="11" t="s">
        <v>50</v>
      </c>
      <c r="C6" s="12" t="s">
        <v>51</v>
      </c>
      <c r="D6" s="13" t="n">
        <f aca="false">COUNTIFS(Preguntas!$B$2:$B$3000,$A6,Preguntas!$C$2:$C$3000,$B6,Preguntas!$D$2:$D$3000,"Junior")</f>
        <v>4</v>
      </c>
      <c r="E6" s="13" t="n">
        <f aca="false">COUNTIFS(Preguntas!$B$2:$B$3000,$A6,Preguntas!$C$2:$C$3000,$B6,Preguntas!$D$2:$D$3000,"Mid")</f>
        <v>4</v>
      </c>
      <c r="F6" s="13" t="n">
        <f aca="false">COUNTIFS(Preguntas!$B$2:$B$3000,$A6,Preguntas!$C$2:$C$3000,$B6,Preguntas!$D$2:$D$3000,"Senior")</f>
        <v>4</v>
      </c>
      <c r="G6" s="13" t="n">
        <f aca="false">SUM(D6:F6)</f>
        <v>12</v>
      </c>
      <c r="H6" s="13" t="n">
        <f aca="false">COUNTIFS(Preguntas!$B$2:$B$3000,$A6,Preguntas!$C$2:$C$3000,$B6,Preguntas!$G$2:$G$3000,"?*")</f>
        <v>4</v>
      </c>
      <c r="I6" s="13" t="n">
        <f aca="false">COUNTIFS(Preguntas!$B$2:$B$3000,$A6,Preguntas!$C$2:$C$3000,$B6,Preguntas!$O$2:$O$3000,"Revisada")</f>
        <v>0</v>
      </c>
      <c r="J6" s="13" t="n">
        <f aca="false">COUNTIFS(Preguntas!$B$2:$B$3000,$A6,Preguntas!$C$2:$C$3000,$B6,Preguntas!$P$2:$P$3000,"Sí")</f>
        <v>12</v>
      </c>
    </row>
    <row r="7" customFormat="false" ht="15" hidden="false" customHeight="false" outlineLevel="0" collapsed="false">
      <c r="A7" s="11" t="s">
        <v>47</v>
      </c>
      <c r="B7" s="11" t="s">
        <v>52</v>
      </c>
      <c r="C7" s="12" t="s">
        <v>53</v>
      </c>
      <c r="D7" s="13" t="n">
        <f aca="false">COUNTIFS(Preguntas!$B$2:$B$3000,$A7,Preguntas!$C$2:$C$3000,$B7,Preguntas!$D$2:$D$3000,"Junior")</f>
        <v>4</v>
      </c>
      <c r="E7" s="13" t="n">
        <f aca="false">COUNTIFS(Preguntas!$B$2:$B$3000,$A7,Preguntas!$C$2:$C$3000,$B7,Preguntas!$D$2:$D$3000,"Mid")</f>
        <v>4</v>
      </c>
      <c r="F7" s="13" t="n">
        <f aca="false">COUNTIFS(Preguntas!$B$2:$B$3000,$A7,Preguntas!$C$2:$C$3000,$B7,Preguntas!$D$2:$D$3000,"Senior")</f>
        <v>4</v>
      </c>
      <c r="G7" s="13" t="n">
        <f aca="false">SUM(D7:F7)</f>
        <v>12</v>
      </c>
      <c r="H7" s="13" t="n">
        <f aca="false">COUNTIFS(Preguntas!$B$2:$B$3000,$A7,Preguntas!$C$2:$C$3000,$B7,Preguntas!$G$2:$G$3000,"?*")</f>
        <v>4</v>
      </c>
      <c r="I7" s="13" t="n">
        <f aca="false">COUNTIFS(Preguntas!$B$2:$B$3000,$A7,Preguntas!$C$2:$C$3000,$B7,Preguntas!$O$2:$O$3000,"Revisada")</f>
        <v>0</v>
      </c>
      <c r="J7" s="13" t="n">
        <f aca="false">COUNTIFS(Preguntas!$B$2:$B$3000,$A7,Preguntas!$C$2:$C$3000,$B7,Preguntas!$P$2:$P$3000,"Sí")</f>
        <v>12</v>
      </c>
    </row>
    <row r="8" customFormat="false" ht="15" hidden="false" customHeight="false" outlineLevel="0" collapsed="false">
      <c r="A8" s="11" t="s">
        <v>47</v>
      </c>
      <c r="B8" s="11" t="s">
        <v>54</v>
      </c>
      <c r="C8" s="12" t="s">
        <v>55</v>
      </c>
      <c r="D8" s="13" t="n">
        <f aca="false">COUNTIFS(Preguntas!$B$2:$B$3000,$A8,Preguntas!$C$2:$C$3000,$B8,Preguntas!$D$2:$D$3000,"Junior")</f>
        <v>4</v>
      </c>
      <c r="E8" s="13" t="n">
        <f aca="false">COUNTIFS(Preguntas!$B$2:$B$3000,$A8,Preguntas!$C$2:$C$3000,$B8,Preguntas!$D$2:$D$3000,"Mid")</f>
        <v>4</v>
      </c>
      <c r="F8" s="13" t="n">
        <f aca="false">COUNTIFS(Preguntas!$B$2:$B$3000,$A8,Preguntas!$C$2:$C$3000,$B8,Preguntas!$D$2:$D$3000,"Senior")</f>
        <v>4</v>
      </c>
      <c r="G8" s="13" t="n">
        <f aca="false">SUM(D8:F8)</f>
        <v>12</v>
      </c>
      <c r="H8" s="13" t="n">
        <f aca="false">COUNTIFS(Preguntas!$B$2:$B$3000,$A8,Preguntas!$C$2:$C$3000,$B8,Preguntas!$G$2:$G$3000,"?*")</f>
        <v>3</v>
      </c>
      <c r="I8" s="13" t="n">
        <f aca="false">COUNTIFS(Preguntas!$B$2:$B$3000,$A8,Preguntas!$C$2:$C$3000,$B8,Preguntas!$O$2:$O$3000,"Revisada")</f>
        <v>0</v>
      </c>
      <c r="J8" s="13" t="n">
        <f aca="false">COUNTIFS(Preguntas!$B$2:$B$3000,$A8,Preguntas!$C$2:$C$3000,$B8,Preguntas!$P$2:$P$3000,"Sí")</f>
        <v>12</v>
      </c>
    </row>
    <row r="9" customFormat="false" ht="15" hidden="false" customHeight="false" outlineLevel="0" collapsed="false">
      <c r="A9" s="11" t="s">
        <v>47</v>
      </c>
      <c r="B9" s="11" t="s">
        <v>56</v>
      </c>
      <c r="C9" s="12" t="s">
        <v>57</v>
      </c>
      <c r="D9" s="13" t="n">
        <f aca="false">COUNTIFS(Preguntas!$B$2:$B$3000,$A9,Preguntas!$C$2:$C$3000,$B9,Preguntas!$D$2:$D$3000,"Junior")</f>
        <v>4</v>
      </c>
      <c r="E9" s="13" t="n">
        <f aca="false">COUNTIFS(Preguntas!$B$2:$B$3000,$A9,Preguntas!$C$2:$C$3000,$B9,Preguntas!$D$2:$D$3000,"Mid")</f>
        <v>4</v>
      </c>
      <c r="F9" s="13" t="n">
        <f aca="false">COUNTIFS(Preguntas!$B$2:$B$3000,$A9,Preguntas!$C$2:$C$3000,$B9,Preguntas!$D$2:$D$3000,"Senior")</f>
        <v>4</v>
      </c>
      <c r="G9" s="13" t="n">
        <f aca="false">SUM(D9:F9)</f>
        <v>12</v>
      </c>
      <c r="H9" s="13" t="n">
        <f aca="false">COUNTIFS(Preguntas!$B$2:$B$3000,$A9,Preguntas!$C$2:$C$3000,$B9,Preguntas!$G$2:$G$3000,"?*")</f>
        <v>4</v>
      </c>
      <c r="I9" s="13" t="n">
        <f aca="false">COUNTIFS(Preguntas!$B$2:$B$3000,$A9,Preguntas!$C$2:$C$3000,$B9,Preguntas!$O$2:$O$3000,"Revisada")</f>
        <v>0</v>
      </c>
      <c r="J9" s="13" t="n">
        <f aca="false">COUNTIFS(Preguntas!$B$2:$B$3000,$A9,Preguntas!$C$2:$C$3000,$B9,Preguntas!$P$2:$P$3000,"Sí")</f>
        <v>12</v>
      </c>
    </row>
    <row r="10" customFormat="false" ht="15" hidden="false" customHeight="false" outlineLevel="0" collapsed="false">
      <c r="A10" s="11" t="s">
        <v>47</v>
      </c>
      <c r="B10" s="11" t="s">
        <v>58</v>
      </c>
      <c r="C10" s="12" t="s">
        <v>59</v>
      </c>
      <c r="D10" s="13" t="n">
        <f aca="false">COUNTIFS(Preguntas!$B$2:$B$3000,$A10,Preguntas!$C$2:$C$3000,$B10,Preguntas!$D$2:$D$3000,"Junior")</f>
        <v>4</v>
      </c>
      <c r="E10" s="13" t="n">
        <f aca="false">COUNTIFS(Preguntas!$B$2:$B$3000,$A10,Preguntas!$C$2:$C$3000,$B10,Preguntas!$D$2:$D$3000,"Mid")</f>
        <v>4</v>
      </c>
      <c r="F10" s="13" t="n">
        <f aca="false">COUNTIFS(Preguntas!$B$2:$B$3000,$A10,Preguntas!$C$2:$C$3000,$B10,Preguntas!$D$2:$D$3000,"Senior")</f>
        <v>4</v>
      </c>
      <c r="G10" s="13" t="n">
        <f aca="false">SUM(D10:F10)</f>
        <v>12</v>
      </c>
      <c r="H10" s="13" t="n">
        <f aca="false">COUNTIFS(Preguntas!$B$2:$B$3000,$A10,Preguntas!$C$2:$C$3000,$B10,Preguntas!$G$2:$G$3000,"?*")</f>
        <v>4</v>
      </c>
      <c r="I10" s="13" t="n">
        <f aca="false">COUNTIFS(Preguntas!$B$2:$B$3000,$A10,Preguntas!$C$2:$C$3000,$B10,Preguntas!$O$2:$O$3000,"Revisada")</f>
        <v>0</v>
      </c>
      <c r="J10" s="13" t="n">
        <f aca="false">COUNTIFS(Preguntas!$B$2:$B$3000,$A10,Preguntas!$C$2:$C$3000,$B10,Preguntas!$P$2:$P$3000,"Sí")</f>
        <v>12</v>
      </c>
    </row>
    <row r="11" customFormat="false" ht="15" hidden="false" customHeight="false" outlineLevel="0" collapsed="false">
      <c r="A11" s="11" t="s">
        <v>47</v>
      </c>
      <c r="B11" s="11" t="s">
        <v>60</v>
      </c>
      <c r="C11" s="12" t="s">
        <v>61</v>
      </c>
      <c r="D11" s="13" t="n">
        <f aca="false">COUNTIFS(Preguntas!$B$2:$B$3000,$A11,Preguntas!$C$2:$C$3000,$B11,Preguntas!$D$2:$D$3000,"Junior")</f>
        <v>4</v>
      </c>
      <c r="E11" s="13" t="n">
        <f aca="false">COUNTIFS(Preguntas!$B$2:$B$3000,$A11,Preguntas!$C$2:$C$3000,$B11,Preguntas!$D$2:$D$3000,"Mid")</f>
        <v>4</v>
      </c>
      <c r="F11" s="13" t="n">
        <f aca="false">COUNTIFS(Preguntas!$B$2:$B$3000,$A11,Preguntas!$C$2:$C$3000,$B11,Preguntas!$D$2:$D$3000,"Senior")</f>
        <v>4</v>
      </c>
      <c r="G11" s="13" t="n">
        <f aca="false">SUM(D11:F11)</f>
        <v>12</v>
      </c>
      <c r="H11" s="13" t="n">
        <f aca="false">COUNTIFS(Preguntas!$B$2:$B$3000,$A11,Preguntas!$C$2:$C$3000,$B11,Preguntas!$G$2:$G$3000,"?*")</f>
        <v>3</v>
      </c>
      <c r="I11" s="13" t="n">
        <f aca="false">COUNTIFS(Preguntas!$B$2:$B$3000,$A11,Preguntas!$C$2:$C$3000,$B11,Preguntas!$O$2:$O$3000,"Revisada")</f>
        <v>0</v>
      </c>
      <c r="J11" s="13" t="n">
        <f aca="false">COUNTIFS(Preguntas!$B$2:$B$3000,$A11,Preguntas!$C$2:$C$3000,$B11,Preguntas!$P$2:$P$3000,"Sí")</f>
        <v>12</v>
      </c>
    </row>
    <row r="12" customFormat="false" ht="15" hidden="false" customHeight="false" outlineLevel="0" collapsed="false">
      <c r="A12" s="11" t="s">
        <v>47</v>
      </c>
      <c r="B12" s="11" t="s">
        <v>62</v>
      </c>
      <c r="C12" s="12" t="s">
        <v>63</v>
      </c>
      <c r="D12" s="13" t="n">
        <f aca="false">COUNTIFS(Preguntas!$B$2:$B$3000,$A12,Preguntas!$C$2:$C$3000,$B12,Preguntas!$D$2:$D$3000,"Junior")</f>
        <v>4</v>
      </c>
      <c r="E12" s="13" t="n">
        <f aca="false">COUNTIFS(Preguntas!$B$2:$B$3000,$A12,Preguntas!$C$2:$C$3000,$B12,Preguntas!$D$2:$D$3000,"Mid")</f>
        <v>4</v>
      </c>
      <c r="F12" s="13" t="n">
        <f aca="false">COUNTIFS(Preguntas!$B$2:$B$3000,$A12,Preguntas!$C$2:$C$3000,$B12,Preguntas!$D$2:$D$3000,"Senior")</f>
        <v>4</v>
      </c>
      <c r="G12" s="13" t="n">
        <f aca="false">SUM(D12:F12)</f>
        <v>12</v>
      </c>
      <c r="H12" s="13" t="n">
        <f aca="false">COUNTIFS(Preguntas!$B$2:$B$3000,$A12,Preguntas!$C$2:$C$3000,$B12,Preguntas!$G$2:$G$3000,"?*")</f>
        <v>2</v>
      </c>
      <c r="I12" s="13" t="n">
        <f aca="false">COUNTIFS(Preguntas!$B$2:$B$3000,$A12,Preguntas!$C$2:$C$3000,$B12,Preguntas!$O$2:$O$3000,"Revisada")</f>
        <v>0</v>
      </c>
      <c r="J12" s="13" t="n">
        <f aca="false">COUNTIFS(Preguntas!$B$2:$B$3000,$A12,Preguntas!$C$2:$C$3000,$B12,Preguntas!$P$2:$P$3000,"Sí")</f>
        <v>12</v>
      </c>
    </row>
    <row r="13" customFormat="false" ht="15" hidden="false" customHeight="false" outlineLevel="0" collapsed="false">
      <c r="A13" s="11" t="s">
        <v>47</v>
      </c>
      <c r="B13" s="11" t="s">
        <v>64</v>
      </c>
      <c r="C13" s="12" t="s">
        <v>65</v>
      </c>
      <c r="D13" s="13" t="n">
        <f aca="false">COUNTIFS(Preguntas!$B$2:$B$3000,$A13,Preguntas!$C$2:$C$3000,$B13,Preguntas!$D$2:$D$3000,"Junior")</f>
        <v>4</v>
      </c>
      <c r="E13" s="13" t="n">
        <f aca="false">COUNTIFS(Preguntas!$B$2:$B$3000,$A13,Preguntas!$C$2:$C$3000,$B13,Preguntas!$D$2:$D$3000,"Mid")</f>
        <v>4</v>
      </c>
      <c r="F13" s="13" t="n">
        <f aca="false">COUNTIFS(Preguntas!$B$2:$B$3000,$A13,Preguntas!$C$2:$C$3000,$B13,Preguntas!$D$2:$D$3000,"Senior")</f>
        <v>4</v>
      </c>
      <c r="G13" s="13" t="n">
        <f aca="false">SUM(D13:F13)</f>
        <v>12</v>
      </c>
      <c r="H13" s="13" t="n">
        <f aca="false">COUNTIFS(Preguntas!$B$2:$B$3000,$A13,Preguntas!$C$2:$C$3000,$B13,Preguntas!$G$2:$G$3000,"?*")</f>
        <v>2</v>
      </c>
      <c r="I13" s="13" t="n">
        <f aca="false">COUNTIFS(Preguntas!$B$2:$B$3000,$A13,Preguntas!$C$2:$C$3000,$B13,Preguntas!$O$2:$O$3000,"Revisada")</f>
        <v>0</v>
      </c>
      <c r="J13" s="13" t="n">
        <f aca="false">COUNTIFS(Preguntas!$B$2:$B$3000,$A13,Preguntas!$C$2:$C$3000,$B13,Preguntas!$P$2:$P$3000,"Sí")</f>
        <v>12</v>
      </c>
    </row>
    <row r="14" customFormat="false" ht="15" hidden="false" customHeight="false" outlineLevel="0" collapsed="false">
      <c r="A14" s="11" t="s">
        <v>47</v>
      </c>
      <c r="B14" s="11" t="s">
        <v>66</v>
      </c>
      <c r="C14" s="12" t="s">
        <v>67</v>
      </c>
      <c r="D14" s="13" t="n">
        <f aca="false">COUNTIFS(Preguntas!$B$2:$B$3000,$A14,Preguntas!$C$2:$C$3000,$B14,Preguntas!$D$2:$D$3000,"Junior")</f>
        <v>4</v>
      </c>
      <c r="E14" s="13" t="n">
        <f aca="false">COUNTIFS(Preguntas!$B$2:$B$3000,$A14,Preguntas!$C$2:$C$3000,$B14,Preguntas!$D$2:$D$3000,"Mid")</f>
        <v>4</v>
      </c>
      <c r="F14" s="13" t="n">
        <f aca="false">COUNTIFS(Preguntas!$B$2:$B$3000,$A14,Preguntas!$C$2:$C$3000,$B14,Preguntas!$D$2:$D$3000,"Senior")</f>
        <v>4</v>
      </c>
      <c r="G14" s="13" t="n">
        <f aca="false">SUM(D14:F14)</f>
        <v>12</v>
      </c>
      <c r="H14" s="13" t="n">
        <f aca="false">COUNTIFS(Preguntas!$B$2:$B$3000,$A14,Preguntas!$C$2:$C$3000,$B14,Preguntas!$G$2:$G$3000,"?*")</f>
        <v>2</v>
      </c>
      <c r="I14" s="13" t="n">
        <f aca="false">COUNTIFS(Preguntas!$B$2:$B$3000,$A14,Preguntas!$C$2:$C$3000,$B14,Preguntas!$O$2:$O$3000,"Revisada")</f>
        <v>0</v>
      </c>
      <c r="J14" s="13" t="n">
        <f aca="false">COUNTIFS(Preguntas!$B$2:$B$3000,$A14,Preguntas!$C$2:$C$3000,$B14,Preguntas!$P$2:$P$3000,"Sí")</f>
        <v>12</v>
      </c>
    </row>
    <row r="15" customFormat="false" ht="15" hidden="false" customHeight="false" outlineLevel="0" collapsed="false">
      <c r="A15" s="8" t="s">
        <v>68</v>
      </c>
      <c r="B15" s="8" t="s">
        <v>69</v>
      </c>
      <c r="C15" s="9" t="s">
        <v>70</v>
      </c>
      <c r="D15" s="10" t="n">
        <f aca="false">COUNTIFS(Preguntas!$B$2:$B$3000,$A15,Preguntas!$C$2:$C$3000,$B15,Preguntas!$D$2:$D$3000,"Junior")</f>
        <v>4</v>
      </c>
      <c r="E15" s="10" t="n">
        <f aca="false">COUNTIFS(Preguntas!$B$2:$B$3000,$A15,Preguntas!$C$2:$C$3000,$B15,Preguntas!$D$2:$D$3000,"Mid")</f>
        <v>4</v>
      </c>
      <c r="F15" s="10" t="n">
        <f aca="false">COUNTIFS(Preguntas!$B$2:$B$3000,$A15,Preguntas!$C$2:$C$3000,$B15,Preguntas!$D$2:$D$3000,"Senior")</f>
        <v>4</v>
      </c>
      <c r="G15" s="10" t="n">
        <f aca="false">SUM(D15:F15)</f>
        <v>12</v>
      </c>
      <c r="H15" s="10" t="n">
        <f aca="false">COUNTIFS(Preguntas!$B$2:$B$3000,$A15,Preguntas!$C$2:$C$3000,$B15,Preguntas!$G$2:$G$3000,"?*")</f>
        <v>3</v>
      </c>
      <c r="I15" s="10" t="n">
        <f aca="false">COUNTIFS(Preguntas!$B$2:$B$3000,$A15,Preguntas!$C$2:$C$3000,$B15,Preguntas!$O$2:$O$3000,"Revisada")</f>
        <v>0</v>
      </c>
      <c r="J15" s="10" t="n">
        <f aca="false">COUNTIFS(Preguntas!$B$2:$B$3000,$A15,Preguntas!$C$2:$C$3000,$B15,Preguntas!$P$2:$P$3000,"Sí")</f>
        <v>12</v>
      </c>
    </row>
    <row r="16" customFormat="false" ht="15" hidden="false" customHeight="false" outlineLevel="0" collapsed="false">
      <c r="A16" s="8" t="s">
        <v>68</v>
      </c>
      <c r="B16" s="8" t="s">
        <v>71</v>
      </c>
      <c r="C16" s="9" t="s">
        <v>72</v>
      </c>
      <c r="D16" s="10" t="n">
        <f aca="false">COUNTIFS(Preguntas!$B$2:$B$3000,$A16,Preguntas!$C$2:$C$3000,$B16,Preguntas!$D$2:$D$3000,"Junior")</f>
        <v>4</v>
      </c>
      <c r="E16" s="10" t="n">
        <f aca="false">COUNTIFS(Preguntas!$B$2:$B$3000,$A16,Preguntas!$C$2:$C$3000,$B16,Preguntas!$D$2:$D$3000,"Mid")</f>
        <v>4</v>
      </c>
      <c r="F16" s="10" t="n">
        <f aca="false">COUNTIFS(Preguntas!$B$2:$B$3000,$A16,Preguntas!$C$2:$C$3000,$B16,Preguntas!$D$2:$D$3000,"Senior")</f>
        <v>4</v>
      </c>
      <c r="G16" s="10" t="n">
        <f aca="false">SUM(D16:F16)</f>
        <v>12</v>
      </c>
      <c r="H16" s="10" t="n">
        <f aca="false">COUNTIFS(Preguntas!$B$2:$B$3000,$A16,Preguntas!$C$2:$C$3000,$B16,Preguntas!$G$2:$G$3000,"?*")</f>
        <v>3</v>
      </c>
      <c r="I16" s="10" t="n">
        <f aca="false">COUNTIFS(Preguntas!$B$2:$B$3000,$A16,Preguntas!$C$2:$C$3000,$B16,Preguntas!$O$2:$O$3000,"Revisada")</f>
        <v>0</v>
      </c>
      <c r="J16" s="10" t="n">
        <f aca="false">COUNTIFS(Preguntas!$B$2:$B$3000,$A16,Preguntas!$C$2:$C$3000,$B16,Preguntas!$P$2:$P$3000,"Sí")</f>
        <v>12</v>
      </c>
    </row>
    <row r="17" customFormat="false" ht="15" hidden="false" customHeight="false" outlineLevel="0" collapsed="false">
      <c r="A17" s="8" t="s">
        <v>68</v>
      </c>
      <c r="B17" s="8" t="s">
        <v>73</v>
      </c>
      <c r="C17" s="9" t="s">
        <v>74</v>
      </c>
      <c r="D17" s="10" t="n">
        <f aca="false">COUNTIFS(Preguntas!$B$2:$B$3000,$A17,Preguntas!$C$2:$C$3000,$B17,Preguntas!$D$2:$D$3000,"Junior")</f>
        <v>4</v>
      </c>
      <c r="E17" s="10" t="n">
        <f aca="false">COUNTIFS(Preguntas!$B$2:$B$3000,$A17,Preguntas!$C$2:$C$3000,$B17,Preguntas!$D$2:$D$3000,"Mid")</f>
        <v>4</v>
      </c>
      <c r="F17" s="10" t="n">
        <f aca="false">COUNTIFS(Preguntas!$B$2:$B$3000,$A17,Preguntas!$C$2:$C$3000,$B17,Preguntas!$D$2:$D$3000,"Senior")</f>
        <v>4</v>
      </c>
      <c r="G17" s="10" t="n">
        <f aca="false">SUM(D17:F17)</f>
        <v>12</v>
      </c>
      <c r="H17" s="10" t="n">
        <f aca="false">COUNTIFS(Preguntas!$B$2:$B$3000,$A17,Preguntas!$C$2:$C$3000,$B17,Preguntas!$G$2:$G$3000,"?*")</f>
        <v>3</v>
      </c>
      <c r="I17" s="10" t="n">
        <f aca="false">COUNTIFS(Preguntas!$B$2:$B$3000,$A17,Preguntas!$C$2:$C$3000,$B17,Preguntas!$O$2:$O$3000,"Revisada")</f>
        <v>0</v>
      </c>
      <c r="J17" s="10" t="n">
        <f aca="false">COUNTIFS(Preguntas!$B$2:$B$3000,$A17,Preguntas!$C$2:$C$3000,$B17,Preguntas!$P$2:$P$3000,"Sí")</f>
        <v>12</v>
      </c>
    </row>
    <row r="18" customFormat="false" ht="15" hidden="false" customHeight="false" outlineLevel="0" collapsed="false">
      <c r="A18" s="8" t="s">
        <v>68</v>
      </c>
      <c r="B18" s="8" t="s">
        <v>75</v>
      </c>
      <c r="C18" s="9" t="s">
        <v>76</v>
      </c>
      <c r="D18" s="10" t="n">
        <f aca="false">COUNTIFS(Preguntas!$B$2:$B$3000,$A18,Preguntas!$C$2:$C$3000,$B18,Preguntas!$D$2:$D$3000,"Junior")</f>
        <v>4</v>
      </c>
      <c r="E18" s="10" t="n">
        <f aca="false">COUNTIFS(Preguntas!$B$2:$B$3000,$A18,Preguntas!$C$2:$C$3000,$B18,Preguntas!$D$2:$D$3000,"Mid")</f>
        <v>4</v>
      </c>
      <c r="F18" s="10" t="n">
        <f aca="false">COUNTIFS(Preguntas!$B$2:$B$3000,$A18,Preguntas!$C$2:$C$3000,$B18,Preguntas!$D$2:$D$3000,"Senior")</f>
        <v>4</v>
      </c>
      <c r="G18" s="10" t="n">
        <f aca="false">SUM(D18:F18)</f>
        <v>12</v>
      </c>
      <c r="H18" s="10" t="n">
        <f aca="false">COUNTIFS(Preguntas!$B$2:$B$3000,$A18,Preguntas!$C$2:$C$3000,$B18,Preguntas!$G$2:$G$3000,"?*")</f>
        <v>3</v>
      </c>
      <c r="I18" s="10" t="n">
        <f aca="false">COUNTIFS(Preguntas!$B$2:$B$3000,$A18,Preguntas!$C$2:$C$3000,$B18,Preguntas!$O$2:$O$3000,"Revisada")</f>
        <v>0</v>
      </c>
      <c r="J18" s="10" t="n">
        <f aca="false">COUNTIFS(Preguntas!$B$2:$B$3000,$A18,Preguntas!$C$2:$C$3000,$B18,Preguntas!$P$2:$P$3000,"Sí")</f>
        <v>12</v>
      </c>
    </row>
    <row r="19" customFormat="false" ht="15" hidden="false" customHeight="false" outlineLevel="0" collapsed="false">
      <c r="A19" s="8" t="s">
        <v>68</v>
      </c>
      <c r="B19" s="8" t="s">
        <v>77</v>
      </c>
      <c r="C19" s="9" t="s">
        <v>78</v>
      </c>
      <c r="D19" s="10" t="n">
        <f aca="false">COUNTIFS(Preguntas!$B$2:$B$3000,$A19,Preguntas!$C$2:$C$3000,$B19,Preguntas!$D$2:$D$3000,"Junior")</f>
        <v>4</v>
      </c>
      <c r="E19" s="10" t="n">
        <f aca="false">COUNTIFS(Preguntas!$B$2:$B$3000,$A19,Preguntas!$C$2:$C$3000,$B19,Preguntas!$D$2:$D$3000,"Mid")</f>
        <v>4</v>
      </c>
      <c r="F19" s="10" t="n">
        <f aca="false">COUNTIFS(Preguntas!$B$2:$B$3000,$A19,Preguntas!$C$2:$C$3000,$B19,Preguntas!$D$2:$D$3000,"Senior")</f>
        <v>4</v>
      </c>
      <c r="G19" s="10" t="n">
        <f aca="false">SUM(D19:F19)</f>
        <v>12</v>
      </c>
      <c r="H19" s="10" t="n">
        <f aca="false">COUNTIFS(Preguntas!$B$2:$B$3000,$A19,Preguntas!$C$2:$C$3000,$B19,Preguntas!$G$2:$G$3000,"?*")</f>
        <v>3</v>
      </c>
      <c r="I19" s="10" t="n">
        <f aca="false">COUNTIFS(Preguntas!$B$2:$B$3000,$A19,Preguntas!$C$2:$C$3000,$B19,Preguntas!$O$2:$O$3000,"Revisada")</f>
        <v>0</v>
      </c>
      <c r="J19" s="10" t="n">
        <f aca="false">COUNTIFS(Preguntas!$B$2:$B$3000,$A19,Preguntas!$C$2:$C$3000,$B19,Preguntas!$P$2:$P$3000,"Sí")</f>
        <v>12</v>
      </c>
    </row>
    <row r="20" customFormat="false" ht="15" hidden="false" customHeight="false" outlineLevel="0" collapsed="false">
      <c r="A20" s="8" t="s">
        <v>68</v>
      </c>
      <c r="B20" s="8" t="s">
        <v>62</v>
      </c>
      <c r="C20" s="9" t="s">
        <v>79</v>
      </c>
      <c r="D20" s="10" t="n">
        <f aca="false">COUNTIFS(Preguntas!$B$2:$B$3000,$A20,Preguntas!$C$2:$C$3000,$B20,Preguntas!$D$2:$D$3000,"Junior")</f>
        <v>4</v>
      </c>
      <c r="E20" s="10" t="n">
        <f aca="false">COUNTIFS(Preguntas!$B$2:$B$3000,$A20,Preguntas!$C$2:$C$3000,$B20,Preguntas!$D$2:$D$3000,"Mid")</f>
        <v>4</v>
      </c>
      <c r="F20" s="10" t="n">
        <f aca="false">COUNTIFS(Preguntas!$B$2:$B$3000,$A20,Preguntas!$C$2:$C$3000,$B20,Preguntas!$D$2:$D$3000,"Senior")</f>
        <v>4</v>
      </c>
      <c r="G20" s="10" t="n">
        <f aca="false">SUM(D20:F20)</f>
        <v>12</v>
      </c>
      <c r="H20" s="10" t="n">
        <f aca="false">COUNTIFS(Preguntas!$B$2:$B$3000,$A20,Preguntas!$C$2:$C$3000,$B20,Preguntas!$G$2:$G$3000,"?*")</f>
        <v>3</v>
      </c>
      <c r="I20" s="10" t="n">
        <f aca="false">COUNTIFS(Preguntas!$B$2:$B$3000,$A20,Preguntas!$C$2:$C$3000,$B20,Preguntas!$O$2:$O$3000,"Revisada")</f>
        <v>0</v>
      </c>
      <c r="J20" s="10" t="n">
        <f aca="false">COUNTIFS(Preguntas!$B$2:$B$3000,$A20,Preguntas!$C$2:$C$3000,$B20,Preguntas!$P$2:$P$3000,"Sí")</f>
        <v>12</v>
      </c>
    </row>
    <row r="21" customFormat="false" ht="15" hidden="false" customHeight="false" outlineLevel="0" collapsed="false">
      <c r="A21" s="11" t="s">
        <v>80</v>
      </c>
      <c r="B21" s="11" t="s">
        <v>81</v>
      </c>
      <c r="C21" s="12" t="s">
        <v>82</v>
      </c>
      <c r="D21" s="13" t="n">
        <f aca="false">COUNTIFS(Preguntas!$B$2:$B$3000,$A21,Preguntas!$C$2:$C$3000,$B21,Preguntas!$D$2:$D$3000,"Junior")</f>
        <v>4</v>
      </c>
      <c r="E21" s="13" t="n">
        <f aca="false">COUNTIFS(Preguntas!$B$2:$B$3000,$A21,Preguntas!$C$2:$C$3000,$B21,Preguntas!$D$2:$D$3000,"Mid")</f>
        <v>4</v>
      </c>
      <c r="F21" s="13" t="n">
        <f aca="false">COUNTIFS(Preguntas!$B$2:$B$3000,$A21,Preguntas!$C$2:$C$3000,$B21,Preguntas!$D$2:$D$3000,"Senior")</f>
        <v>4</v>
      </c>
      <c r="G21" s="13" t="n">
        <f aca="false">SUM(D21:F21)</f>
        <v>12</v>
      </c>
      <c r="H21" s="13" t="n">
        <f aca="false">COUNTIFS(Preguntas!$B$2:$B$3000,$A21,Preguntas!$C$2:$C$3000,$B21,Preguntas!$G$2:$G$3000,"?*")</f>
        <v>3</v>
      </c>
      <c r="I21" s="13" t="n">
        <f aca="false">COUNTIFS(Preguntas!$B$2:$B$3000,$A21,Preguntas!$C$2:$C$3000,$B21,Preguntas!$O$2:$O$3000,"Revisada")</f>
        <v>0</v>
      </c>
      <c r="J21" s="13" t="n">
        <f aca="false">COUNTIFS(Preguntas!$B$2:$B$3000,$A21,Preguntas!$C$2:$C$3000,$B21,Preguntas!$P$2:$P$3000,"Sí")</f>
        <v>12</v>
      </c>
    </row>
    <row r="22" customFormat="false" ht="15" hidden="false" customHeight="false" outlineLevel="0" collapsed="false">
      <c r="A22" s="11" t="s">
        <v>80</v>
      </c>
      <c r="B22" s="11" t="s">
        <v>83</v>
      </c>
      <c r="C22" s="12" t="s">
        <v>84</v>
      </c>
      <c r="D22" s="13" t="n">
        <f aca="false">COUNTIFS(Preguntas!$B$2:$B$3000,$A22,Preguntas!$C$2:$C$3000,$B22,Preguntas!$D$2:$D$3000,"Junior")</f>
        <v>4</v>
      </c>
      <c r="E22" s="13" t="n">
        <f aca="false">COUNTIFS(Preguntas!$B$2:$B$3000,$A22,Preguntas!$C$2:$C$3000,$B22,Preguntas!$D$2:$D$3000,"Mid")</f>
        <v>4</v>
      </c>
      <c r="F22" s="13" t="n">
        <f aca="false">COUNTIFS(Preguntas!$B$2:$B$3000,$A22,Preguntas!$C$2:$C$3000,$B22,Preguntas!$D$2:$D$3000,"Senior")</f>
        <v>4</v>
      </c>
      <c r="G22" s="13" t="n">
        <f aca="false">SUM(D22:F22)</f>
        <v>12</v>
      </c>
      <c r="H22" s="13" t="n">
        <f aca="false">COUNTIFS(Preguntas!$B$2:$B$3000,$A22,Preguntas!$C$2:$C$3000,$B22,Preguntas!$G$2:$G$3000,"?*")</f>
        <v>3</v>
      </c>
      <c r="I22" s="13" t="n">
        <f aca="false">COUNTIFS(Preguntas!$B$2:$B$3000,$A22,Preguntas!$C$2:$C$3000,$B22,Preguntas!$O$2:$O$3000,"Revisada")</f>
        <v>0</v>
      </c>
      <c r="J22" s="13" t="n">
        <f aca="false">COUNTIFS(Preguntas!$B$2:$B$3000,$A22,Preguntas!$C$2:$C$3000,$B22,Preguntas!$P$2:$P$3000,"Sí")</f>
        <v>12</v>
      </c>
    </row>
    <row r="23" customFormat="false" ht="15" hidden="false" customHeight="false" outlineLevel="0" collapsed="false">
      <c r="A23" s="11" t="s">
        <v>80</v>
      </c>
      <c r="B23" s="11" t="s">
        <v>85</v>
      </c>
      <c r="C23" s="12" t="s">
        <v>86</v>
      </c>
      <c r="D23" s="13" t="n">
        <f aca="false">COUNTIFS(Preguntas!$B$2:$B$3000,$A23,Preguntas!$C$2:$C$3000,$B23,Preguntas!$D$2:$D$3000,"Junior")</f>
        <v>4</v>
      </c>
      <c r="E23" s="13" t="n">
        <f aca="false">COUNTIFS(Preguntas!$B$2:$B$3000,$A23,Preguntas!$C$2:$C$3000,$B23,Preguntas!$D$2:$D$3000,"Mid")</f>
        <v>4</v>
      </c>
      <c r="F23" s="13" t="n">
        <f aca="false">COUNTIFS(Preguntas!$B$2:$B$3000,$A23,Preguntas!$C$2:$C$3000,$B23,Preguntas!$D$2:$D$3000,"Senior")</f>
        <v>4</v>
      </c>
      <c r="G23" s="13" t="n">
        <f aca="false">SUM(D23:F23)</f>
        <v>12</v>
      </c>
      <c r="H23" s="13" t="n">
        <f aca="false">COUNTIFS(Preguntas!$B$2:$B$3000,$A23,Preguntas!$C$2:$C$3000,$B23,Preguntas!$G$2:$G$3000,"?*")</f>
        <v>3</v>
      </c>
      <c r="I23" s="13" t="n">
        <f aca="false">COUNTIFS(Preguntas!$B$2:$B$3000,$A23,Preguntas!$C$2:$C$3000,$B23,Preguntas!$O$2:$O$3000,"Revisada")</f>
        <v>0</v>
      </c>
      <c r="J23" s="13" t="n">
        <f aca="false">COUNTIFS(Preguntas!$B$2:$B$3000,$A23,Preguntas!$C$2:$C$3000,$B23,Preguntas!$P$2:$P$3000,"Sí")</f>
        <v>12</v>
      </c>
    </row>
    <row r="24" customFormat="false" ht="15" hidden="false" customHeight="false" outlineLevel="0" collapsed="false">
      <c r="A24" s="11" t="s">
        <v>80</v>
      </c>
      <c r="B24" s="11" t="s">
        <v>87</v>
      </c>
      <c r="C24" s="12" t="s">
        <v>88</v>
      </c>
      <c r="D24" s="13" t="n">
        <f aca="false">COUNTIFS(Preguntas!$B$2:$B$3000,$A24,Preguntas!$C$2:$C$3000,$B24,Preguntas!$D$2:$D$3000,"Junior")</f>
        <v>4</v>
      </c>
      <c r="E24" s="13" t="n">
        <f aca="false">COUNTIFS(Preguntas!$B$2:$B$3000,$A24,Preguntas!$C$2:$C$3000,$B24,Preguntas!$D$2:$D$3000,"Mid")</f>
        <v>4</v>
      </c>
      <c r="F24" s="13" t="n">
        <f aca="false">COUNTIFS(Preguntas!$B$2:$B$3000,$A24,Preguntas!$C$2:$C$3000,$B24,Preguntas!$D$2:$D$3000,"Senior")</f>
        <v>4</v>
      </c>
      <c r="G24" s="13" t="n">
        <f aca="false">SUM(D24:F24)</f>
        <v>12</v>
      </c>
      <c r="H24" s="13" t="n">
        <f aca="false">COUNTIFS(Preguntas!$B$2:$B$3000,$A24,Preguntas!$C$2:$C$3000,$B24,Preguntas!$G$2:$G$3000,"?*")</f>
        <v>3</v>
      </c>
      <c r="I24" s="13" t="n">
        <f aca="false">COUNTIFS(Preguntas!$B$2:$B$3000,$A24,Preguntas!$C$2:$C$3000,$B24,Preguntas!$O$2:$O$3000,"Revisada")</f>
        <v>0</v>
      </c>
      <c r="J24" s="13" t="n">
        <f aca="false">COUNTIFS(Preguntas!$B$2:$B$3000,$A24,Preguntas!$C$2:$C$3000,$B24,Preguntas!$P$2:$P$3000,"Sí")</f>
        <v>12</v>
      </c>
    </row>
    <row r="25" customFormat="false" ht="15" hidden="false" customHeight="false" outlineLevel="0" collapsed="false">
      <c r="A25" s="11" t="s">
        <v>80</v>
      </c>
      <c r="B25" s="11" t="s">
        <v>89</v>
      </c>
      <c r="C25" s="12" t="s">
        <v>90</v>
      </c>
      <c r="D25" s="13" t="n">
        <f aca="false">COUNTIFS(Preguntas!$B$2:$B$3000,$A25,Preguntas!$C$2:$C$3000,$B25,Preguntas!$D$2:$D$3000,"Junior")</f>
        <v>4</v>
      </c>
      <c r="E25" s="13" t="n">
        <f aca="false">COUNTIFS(Preguntas!$B$2:$B$3000,$A25,Preguntas!$C$2:$C$3000,$B25,Preguntas!$D$2:$D$3000,"Mid")</f>
        <v>4</v>
      </c>
      <c r="F25" s="13" t="n">
        <f aca="false">COUNTIFS(Preguntas!$B$2:$B$3000,$A25,Preguntas!$C$2:$C$3000,$B25,Preguntas!$D$2:$D$3000,"Senior")</f>
        <v>4</v>
      </c>
      <c r="G25" s="13" t="n">
        <f aca="false">SUM(D25:F25)</f>
        <v>12</v>
      </c>
      <c r="H25" s="13" t="n">
        <f aca="false">COUNTIFS(Preguntas!$B$2:$B$3000,$A25,Preguntas!$C$2:$C$3000,$B25,Preguntas!$G$2:$G$3000,"?*")</f>
        <v>3</v>
      </c>
      <c r="I25" s="13" t="n">
        <f aca="false">COUNTIFS(Preguntas!$B$2:$B$3000,$A25,Preguntas!$C$2:$C$3000,$B25,Preguntas!$O$2:$O$3000,"Revisada")</f>
        <v>0</v>
      </c>
      <c r="J25" s="13" t="n">
        <f aca="false">COUNTIFS(Preguntas!$B$2:$B$3000,$A25,Preguntas!$C$2:$C$3000,$B25,Preguntas!$P$2:$P$3000,"Sí")</f>
        <v>12</v>
      </c>
    </row>
    <row r="26" customFormat="false" ht="15" hidden="false" customHeight="false" outlineLevel="0" collapsed="false">
      <c r="A26" s="11" t="s">
        <v>80</v>
      </c>
      <c r="B26" s="11" t="s">
        <v>91</v>
      </c>
      <c r="C26" s="12" t="s">
        <v>92</v>
      </c>
      <c r="D26" s="13" t="n">
        <f aca="false">COUNTIFS(Preguntas!$B$2:$B$3000,$A26,Preguntas!$C$2:$C$3000,$B26,Preguntas!$D$2:$D$3000,"Junior")</f>
        <v>4</v>
      </c>
      <c r="E26" s="13" t="n">
        <f aca="false">COUNTIFS(Preguntas!$B$2:$B$3000,$A26,Preguntas!$C$2:$C$3000,$B26,Preguntas!$D$2:$D$3000,"Mid")</f>
        <v>4</v>
      </c>
      <c r="F26" s="13" t="n">
        <f aca="false">COUNTIFS(Preguntas!$B$2:$B$3000,$A26,Preguntas!$C$2:$C$3000,$B26,Preguntas!$D$2:$D$3000,"Senior")</f>
        <v>4</v>
      </c>
      <c r="G26" s="13" t="n">
        <f aca="false">SUM(D26:F26)</f>
        <v>12</v>
      </c>
      <c r="H26" s="13" t="n">
        <f aca="false">COUNTIFS(Preguntas!$B$2:$B$3000,$A26,Preguntas!$C$2:$C$3000,$B26,Preguntas!$G$2:$G$3000,"?*")</f>
        <v>2</v>
      </c>
      <c r="I26" s="13" t="n">
        <f aca="false">COUNTIFS(Preguntas!$B$2:$B$3000,$A26,Preguntas!$C$2:$C$3000,$B26,Preguntas!$O$2:$O$3000,"Revisada")</f>
        <v>0</v>
      </c>
      <c r="J26" s="13" t="n">
        <f aca="false">COUNTIFS(Preguntas!$B$2:$B$3000,$A26,Preguntas!$C$2:$C$3000,$B26,Preguntas!$P$2:$P$3000,"Sí")</f>
        <v>12</v>
      </c>
    </row>
    <row r="27" customFormat="false" ht="15" hidden="false" customHeight="false" outlineLevel="0" collapsed="false">
      <c r="A27" s="8" t="s">
        <v>93</v>
      </c>
      <c r="B27" s="8" t="s">
        <v>94</v>
      </c>
      <c r="C27" s="9" t="s">
        <v>95</v>
      </c>
      <c r="D27" s="10" t="n">
        <f aca="false">COUNTIFS(Preguntas!$B$2:$B$3000,$A27,Preguntas!$C$2:$C$3000,$B27,Preguntas!$D$2:$D$3000,"Junior")</f>
        <v>4</v>
      </c>
      <c r="E27" s="10" t="n">
        <f aca="false">COUNTIFS(Preguntas!$B$2:$B$3000,$A27,Preguntas!$C$2:$C$3000,$B27,Preguntas!$D$2:$D$3000,"Mid")</f>
        <v>4</v>
      </c>
      <c r="F27" s="10" t="n">
        <f aca="false">COUNTIFS(Preguntas!$B$2:$B$3000,$A27,Preguntas!$C$2:$C$3000,$B27,Preguntas!$D$2:$D$3000,"Senior")</f>
        <v>4</v>
      </c>
      <c r="G27" s="10" t="n">
        <f aca="false">SUM(D27:F27)</f>
        <v>12</v>
      </c>
      <c r="H27" s="10" t="n">
        <f aca="false">COUNTIFS(Preguntas!$B$2:$B$3000,$A27,Preguntas!$C$2:$C$3000,$B27,Preguntas!$G$2:$G$3000,"?*")</f>
        <v>3</v>
      </c>
      <c r="I27" s="10" t="n">
        <f aca="false">COUNTIFS(Preguntas!$B$2:$B$3000,$A27,Preguntas!$C$2:$C$3000,$B27,Preguntas!$O$2:$O$3000,"Revisada")</f>
        <v>0</v>
      </c>
      <c r="J27" s="10" t="n">
        <f aca="false">COUNTIFS(Preguntas!$B$2:$B$3000,$A27,Preguntas!$C$2:$C$3000,$B27,Preguntas!$P$2:$P$3000,"Sí")</f>
        <v>12</v>
      </c>
    </row>
    <row r="28" customFormat="false" ht="15" hidden="false" customHeight="false" outlineLevel="0" collapsed="false">
      <c r="A28" s="8" t="s">
        <v>93</v>
      </c>
      <c r="B28" s="8" t="s">
        <v>96</v>
      </c>
      <c r="C28" s="9" t="s">
        <v>97</v>
      </c>
      <c r="D28" s="10" t="n">
        <f aca="false">COUNTIFS(Preguntas!$B$2:$B$3000,$A28,Preguntas!$C$2:$C$3000,$B28,Preguntas!$D$2:$D$3000,"Junior")</f>
        <v>4</v>
      </c>
      <c r="E28" s="10" t="n">
        <f aca="false">COUNTIFS(Preguntas!$B$2:$B$3000,$A28,Preguntas!$C$2:$C$3000,$B28,Preguntas!$D$2:$D$3000,"Mid")</f>
        <v>4</v>
      </c>
      <c r="F28" s="10" t="n">
        <f aca="false">COUNTIFS(Preguntas!$B$2:$B$3000,$A28,Preguntas!$C$2:$C$3000,$B28,Preguntas!$D$2:$D$3000,"Senior")</f>
        <v>4</v>
      </c>
      <c r="G28" s="10" t="n">
        <f aca="false">SUM(D28:F28)</f>
        <v>12</v>
      </c>
      <c r="H28" s="10" t="n">
        <f aca="false">COUNTIFS(Preguntas!$B$2:$B$3000,$A28,Preguntas!$C$2:$C$3000,$B28,Preguntas!$G$2:$G$3000,"?*")</f>
        <v>3</v>
      </c>
      <c r="I28" s="10" t="n">
        <f aca="false">COUNTIFS(Preguntas!$B$2:$B$3000,$A28,Preguntas!$C$2:$C$3000,$B28,Preguntas!$O$2:$O$3000,"Revisada")</f>
        <v>0</v>
      </c>
      <c r="J28" s="10" t="n">
        <f aca="false">COUNTIFS(Preguntas!$B$2:$B$3000,$A28,Preguntas!$C$2:$C$3000,$B28,Preguntas!$P$2:$P$3000,"Sí")</f>
        <v>12</v>
      </c>
    </row>
    <row r="29" customFormat="false" ht="15" hidden="false" customHeight="false" outlineLevel="0" collapsed="false">
      <c r="A29" s="8" t="s">
        <v>93</v>
      </c>
      <c r="B29" s="8" t="s">
        <v>98</v>
      </c>
      <c r="C29" s="9" t="s">
        <v>99</v>
      </c>
      <c r="D29" s="10" t="n">
        <f aca="false">COUNTIFS(Preguntas!$B$2:$B$3000,$A29,Preguntas!$C$2:$C$3000,$B29,Preguntas!$D$2:$D$3000,"Junior")</f>
        <v>4</v>
      </c>
      <c r="E29" s="10" t="n">
        <f aca="false">COUNTIFS(Preguntas!$B$2:$B$3000,$A29,Preguntas!$C$2:$C$3000,$B29,Preguntas!$D$2:$D$3000,"Mid")</f>
        <v>4</v>
      </c>
      <c r="F29" s="10" t="n">
        <f aca="false">COUNTIFS(Preguntas!$B$2:$B$3000,$A29,Preguntas!$C$2:$C$3000,$B29,Preguntas!$D$2:$D$3000,"Senior")</f>
        <v>4</v>
      </c>
      <c r="G29" s="10" t="n">
        <f aca="false">SUM(D29:F29)</f>
        <v>12</v>
      </c>
      <c r="H29" s="10" t="n">
        <f aca="false">COUNTIFS(Preguntas!$B$2:$B$3000,$A29,Preguntas!$C$2:$C$3000,$B29,Preguntas!$G$2:$G$3000,"?*")</f>
        <v>3</v>
      </c>
      <c r="I29" s="10" t="n">
        <f aca="false">COUNTIFS(Preguntas!$B$2:$B$3000,$A29,Preguntas!$C$2:$C$3000,$B29,Preguntas!$O$2:$O$3000,"Revisada")</f>
        <v>0</v>
      </c>
      <c r="J29" s="10" t="n">
        <f aca="false">COUNTIFS(Preguntas!$B$2:$B$3000,$A29,Preguntas!$C$2:$C$3000,$B29,Preguntas!$P$2:$P$3000,"Sí")</f>
        <v>12</v>
      </c>
    </row>
    <row r="30" customFormat="false" ht="15" hidden="false" customHeight="false" outlineLevel="0" collapsed="false">
      <c r="A30" s="8" t="s">
        <v>93</v>
      </c>
      <c r="B30" s="8" t="s">
        <v>100</v>
      </c>
      <c r="C30" s="9" t="s">
        <v>101</v>
      </c>
      <c r="D30" s="10" t="n">
        <f aca="false">COUNTIFS(Preguntas!$B$2:$B$3000,$A30,Preguntas!$C$2:$C$3000,$B30,Preguntas!$D$2:$D$3000,"Junior")</f>
        <v>4</v>
      </c>
      <c r="E30" s="10" t="n">
        <f aca="false">COUNTIFS(Preguntas!$B$2:$B$3000,$A30,Preguntas!$C$2:$C$3000,$B30,Preguntas!$D$2:$D$3000,"Mid")</f>
        <v>4</v>
      </c>
      <c r="F30" s="10" t="n">
        <f aca="false">COUNTIFS(Preguntas!$B$2:$B$3000,$A30,Preguntas!$C$2:$C$3000,$B30,Preguntas!$D$2:$D$3000,"Senior")</f>
        <v>4</v>
      </c>
      <c r="G30" s="10" t="n">
        <f aca="false">SUM(D30:F30)</f>
        <v>12</v>
      </c>
      <c r="H30" s="10" t="n">
        <f aca="false">COUNTIFS(Preguntas!$B$2:$B$3000,$A30,Preguntas!$C$2:$C$3000,$B30,Preguntas!$G$2:$G$3000,"?*")</f>
        <v>3</v>
      </c>
      <c r="I30" s="10" t="n">
        <f aca="false">COUNTIFS(Preguntas!$B$2:$B$3000,$A30,Preguntas!$C$2:$C$3000,$B30,Preguntas!$O$2:$O$3000,"Revisada")</f>
        <v>0</v>
      </c>
      <c r="J30" s="10" t="n">
        <f aca="false">COUNTIFS(Preguntas!$B$2:$B$3000,$A30,Preguntas!$C$2:$C$3000,$B30,Preguntas!$P$2:$P$3000,"Sí")</f>
        <v>12</v>
      </c>
    </row>
    <row r="31" customFormat="false" ht="15" hidden="false" customHeight="false" outlineLevel="0" collapsed="false">
      <c r="A31" s="8" t="s">
        <v>93</v>
      </c>
      <c r="B31" s="8" t="s">
        <v>102</v>
      </c>
      <c r="C31" s="9" t="s">
        <v>103</v>
      </c>
      <c r="D31" s="10" t="n">
        <f aca="false">COUNTIFS(Preguntas!$B$2:$B$3000,$A31,Preguntas!$C$2:$C$3000,$B31,Preguntas!$D$2:$D$3000,"Junior")</f>
        <v>4</v>
      </c>
      <c r="E31" s="10" t="n">
        <f aca="false">COUNTIFS(Preguntas!$B$2:$B$3000,$A31,Preguntas!$C$2:$C$3000,$B31,Preguntas!$D$2:$D$3000,"Mid")</f>
        <v>4</v>
      </c>
      <c r="F31" s="10" t="n">
        <f aca="false">COUNTIFS(Preguntas!$B$2:$B$3000,$A31,Preguntas!$C$2:$C$3000,$B31,Preguntas!$D$2:$D$3000,"Senior")</f>
        <v>4</v>
      </c>
      <c r="G31" s="10" t="n">
        <f aca="false">SUM(D31:F31)</f>
        <v>12</v>
      </c>
      <c r="H31" s="10" t="n">
        <f aca="false">COUNTIFS(Preguntas!$B$2:$B$3000,$A31,Preguntas!$C$2:$C$3000,$B31,Preguntas!$G$2:$G$3000,"?*")</f>
        <v>3</v>
      </c>
      <c r="I31" s="10" t="n">
        <f aca="false">COUNTIFS(Preguntas!$B$2:$B$3000,$A31,Preguntas!$C$2:$C$3000,$B31,Preguntas!$O$2:$O$3000,"Revisada")</f>
        <v>0</v>
      </c>
      <c r="J31" s="10" t="n">
        <f aca="false">COUNTIFS(Preguntas!$B$2:$B$3000,$A31,Preguntas!$C$2:$C$3000,$B31,Preguntas!$P$2:$P$3000,"Sí")</f>
        <v>12</v>
      </c>
    </row>
    <row r="32" customFormat="false" ht="15" hidden="false" customHeight="false" outlineLevel="0" collapsed="false">
      <c r="A32" s="8" t="s">
        <v>93</v>
      </c>
      <c r="B32" s="8" t="s">
        <v>104</v>
      </c>
      <c r="C32" s="9" t="s">
        <v>105</v>
      </c>
      <c r="D32" s="10" t="n">
        <f aca="false">COUNTIFS(Preguntas!$B$2:$B$3000,$A32,Preguntas!$C$2:$C$3000,$B32,Preguntas!$D$2:$D$3000,"Junior")</f>
        <v>4</v>
      </c>
      <c r="E32" s="10" t="n">
        <f aca="false">COUNTIFS(Preguntas!$B$2:$B$3000,$A32,Preguntas!$C$2:$C$3000,$B32,Preguntas!$D$2:$D$3000,"Mid")</f>
        <v>4</v>
      </c>
      <c r="F32" s="10" t="n">
        <f aca="false">COUNTIFS(Preguntas!$B$2:$B$3000,$A32,Preguntas!$C$2:$C$3000,$B32,Preguntas!$D$2:$D$3000,"Senior")</f>
        <v>4</v>
      </c>
      <c r="G32" s="10" t="n">
        <f aca="false">SUM(D32:F32)</f>
        <v>12</v>
      </c>
      <c r="H32" s="10" t="n">
        <f aca="false">COUNTIFS(Preguntas!$B$2:$B$3000,$A32,Preguntas!$C$2:$C$3000,$B32,Preguntas!$G$2:$G$3000,"?*")</f>
        <v>3</v>
      </c>
      <c r="I32" s="10" t="n">
        <f aca="false">COUNTIFS(Preguntas!$B$2:$B$3000,$A32,Preguntas!$C$2:$C$3000,$B32,Preguntas!$O$2:$O$3000,"Revisada")</f>
        <v>0</v>
      </c>
      <c r="J32" s="10" t="n">
        <f aca="false">COUNTIFS(Preguntas!$B$2:$B$3000,$A32,Preguntas!$C$2:$C$3000,$B32,Preguntas!$P$2:$P$3000,"Sí")</f>
        <v>12</v>
      </c>
    </row>
    <row r="33" customFormat="false" ht="15" hidden="false" customHeight="false" outlineLevel="0" collapsed="false">
      <c r="A33" s="11" t="s">
        <v>106</v>
      </c>
      <c r="B33" s="11" t="s">
        <v>107</v>
      </c>
      <c r="C33" s="12" t="s">
        <v>108</v>
      </c>
      <c r="D33" s="13" t="n">
        <f aca="false">COUNTIFS(Preguntas!$B$2:$B$3000,$A33,Preguntas!$C$2:$C$3000,$B33,Preguntas!$D$2:$D$3000,"Junior")</f>
        <v>4</v>
      </c>
      <c r="E33" s="13" t="n">
        <f aca="false">COUNTIFS(Preguntas!$B$2:$B$3000,$A33,Preguntas!$C$2:$C$3000,$B33,Preguntas!$D$2:$D$3000,"Mid")</f>
        <v>4</v>
      </c>
      <c r="F33" s="13" t="n">
        <f aca="false">COUNTIFS(Preguntas!$B$2:$B$3000,$A33,Preguntas!$C$2:$C$3000,$B33,Preguntas!$D$2:$D$3000,"Senior")</f>
        <v>4</v>
      </c>
      <c r="G33" s="13" t="n">
        <f aca="false">SUM(D33:F33)</f>
        <v>12</v>
      </c>
      <c r="H33" s="13" t="n">
        <f aca="false">COUNTIFS(Preguntas!$B$2:$B$3000,$A33,Preguntas!$C$2:$C$3000,$B33,Preguntas!$G$2:$G$3000,"?*")</f>
        <v>5</v>
      </c>
      <c r="I33" s="13" t="n">
        <f aca="false">COUNTIFS(Preguntas!$B$2:$B$3000,$A33,Preguntas!$C$2:$C$3000,$B33,Preguntas!$O$2:$O$3000,"Revisada")</f>
        <v>0</v>
      </c>
      <c r="J33" s="13" t="n">
        <f aca="false">COUNTIFS(Preguntas!$B$2:$B$3000,$A33,Preguntas!$C$2:$C$3000,$B33,Preguntas!$P$2:$P$3000,"Sí")</f>
        <v>12</v>
      </c>
    </row>
    <row r="34" customFormat="false" ht="15" hidden="false" customHeight="false" outlineLevel="0" collapsed="false">
      <c r="A34" s="11" t="s">
        <v>106</v>
      </c>
      <c r="B34" s="11" t="s">
        <v>109</v>
      </c>
      <c r="C34" s="12" t="s">
        <v>110</v>
      </c>
      <c r="D34" s="13" t="n">
        <f aca="false">COUNTIFS(Preguntas!$B$2:$B$3000,$A34,Preguntas!$C$2:$C$3000,$B34,Preguntas!$D$2:$D$3000,"Junior")</f>
        <v>4</v>
      </c>
      <c r="E34" s="13" t="n">
        <f aca="false">COUNTIFS(Preguntas!$B$2:$B$3000,$A34,Preguntas!$C$2:$C$3000,$B34,Preguntas!$D$2:$D$3000,"Mid")</f>
        <v>4</v>
      </c>
      <c r="F34" s="13" t="n">
        <f aca="false">COUNTIFS(Preguntas!$B$2:$B$3000,$A34,Preguntas!$C$2:$C$3000,$B34,Preguntas!$D$2:$D$3000,"Senior")</f>
        <v>4</v>
      </c>
      <c r="G34" s="13" t="n">
        <f aca="false">SUM(D34:F34)</f>
        <v>12</v>
      </c>
      <c r="H34" s="13" t="n">
        <f aca="false">COUNTIFS(Preguntas!$B$2:$B$3000,$A34,Preguntas!$C$2:$C$3000,$B34,Preguntas!$G$2:$G$3000,"?*")</f>
        <v>9</v>
      </c>
      <c r="I34" s="13" t="n">
        <f aca="false">COUNTIFS(Preguntas!$B$2:$B$3000,$A34,Preguntas!$C$2:$C$3000,$B34,Preguntas!$O$2:$O$3000,"Revisada")</f>
        <v>0</v>
      </c>
      <c r="J34" s="13" t="n">
        <f aca="false">COUNTIFS(Preguntas!$B$2:$B$3000,$A34,Preguntas!$C$2:$C$3000,$B34,Preguntas!$P$2:$P$3000,"Sí")</f>
        <v>12</v>
      </c>
    </row>
    <row r="35" customFormat="false" ht="15" hidden="false" customHeight="false" outlineLevel="0" collapsed="false">
      <c r="A35" s="11" t="s">
        <v>106</v>
      </c>
      <c r="B35" s="11" t="s">
        <v>111</v>
      </c>
      <c r="C35" s="12" t="s">
        <v>112</v>
      </c>
      <c r="D35" s="13" t="n">
        <f aca="false">COUNTIFS(Preguntas!$B$2:$B$3000,$A35,Preguntas!$C$2:$C$3000,$B35,Preguntas!$D$2:$D$3000,"Junior")</f>
        <v>4</v>
      </c>
      <c r="E35" s="13" t="n">
        <f aca="false">COUNTIFS(Preguntas!$B$2:$B$3000,$A35,Preguntas!$C$2:$C$3000,$B35,Preguntas!$D$2:$D$3000,"Mid")</f>
        <v>4</v>
      </c>
      <c r="F35" s="13" t="n">
        <f aca="false">COUNTIFS(Preguntas!$B$2:$B$3000,$A35,Preguntas!$C$2:$C$3000,$B35,Preguntas!$D$2:$D$3000,"Senior")</f>
        <v>4</v>
      </c>
      <c r="G35" s="13" t="n">
        <f aca="false">SUM(D35:F35)</f>
        <v>12</v>
      </c>
      <c r="H35" s="13" t="n">
        <f aca="false">COUNTIFS(Preguntas!$B$2:$B$3000,$A35,Preguntas!$C$2:$C$3000,$B35,Preguntas!$G$2:$G$3000,"?*")</f>
        <v>1</v>
      </c>
      <c r="I35" s="13" t="n">
        <f aca="false">COUNTIFS(Preguntas!$B$2:$B$3000,$A35,Preguntas!$C$2:$C$3000,$B35,Preguntas!$O$2:$O$3000,"Revisada")</f>
        <v>0</v>
      </c>
      <c r="J35" s="13" t="n">
        <f aca="false">COUNTIFS(Preguntas!$B$2:$B$3000,$A35,Preguntas!$C$2:$C$3000,$B35,Preguntas!$P$2:$P$3000,"Sí")</f>
        <v>12</v>
      </c>
    </row>
    <row r="36" customFormat="false" ht="15" hidden="false" customHeight="false" outlineLevel="0" collapsed="false">
      <c r="A36" s="11" t="s">
        <v>106</v>
      </c>
      <c r="B36" s="11" t="s">
        <v>113</v>
      </c>
      <c r="C36" s="12" t="s">
        <v>114</v>
      </c>
      <c r="D36" s="13" t="n">
        <f aca="false">COUNTIFS(Preguntas!$B$2:$B$3000,$A36,Preguntas!$C$2:$C$3000,$B36,Preguntas!$D$2:$D$3000,"Junior")</f>
        <v>4</v>
      </c>
      <c r="E36" s="13" t="n">
        <f aca="false">COUNTIFS(Preguntas!$B$2:$B$3000,$A36,Preguntas!$C$2:$C$3000,$B36,Preguntas!$D$2:$D$3000,"Mid")</f>
        <v>4</v>
      </c>
      <c r="F36" s="13" t="n">
        <f aca="false">COUNTIFS(Preguntas!$B$2:$B$3000,$A36,Preguntas!$C$2:$C$3000,$B36,Preguntas!$D$2:$D$3000,"Senior")</f>
        <v>4</v>
      </c>
      <c r="G36" s="13" t="n">
        <f aca="false">SUM(D36:F36)</f>
        <v>12</v>
      </c>
      <c r="H36" s="13" t="n">
        <f aca="false">COUNTIFS(Preguntas!$B$2:$B$3000,$A36,Preguntas!$C$2:$C$3000,$B36,Preguntas!$G$2:$G$3000,"?*")</f>
        <v>4</v>
      </c>
      <c r="I36" s="13" t="n">
        <f aca="false">COUNTIFS(Preguntas!$B$2:$B$3000,$A36,Preguntas!$C$2:$C$3000,$B36,Preguntas!$O$2:$O$3000,"Revisada")</f>
        <v>0</v>
      </c>
      <c r="J36" s="13" t="n">
        <f aca="false">COUNTIFS(Preguntas!$B$2:$B$3000,$A36,Preguntas!$C$2:$C$3000,$B36,Preguntas!$P$2:$P$3000,"Sí")</f>
        <v>12</v>
      </c>
    </row>
    <row r="37" customFormat="false" ht="15" hidden="false" customHeight="false" outlineLevel="0" collapsed="false">
      <c r="A37" s="8" t="s">
        <v>115</v>
      </c>
      <c r="B37" s="8" t="s">
        <v>116</v>
      </c>
      <c r="C37" s="9" t="s">
        <v>117</v>
      </c>
      <c r="D37" s="10" t="n">
        <f aca="false">COUNTIFS(Preguntas!$B$2:$B$3000,$A37,Preguntas!$C$2:$C$3000,$B37,Preguntas!$D$2:$D$3000,"Junior")</f>
        <v>4</v>
      </c>
      <c r="E37" s="10" t="n">
        <f aca="false">COUNTIFS(Preguntas!$B$2:$B$3000,$A37,Preguntas!$C$2:$C$3000,$B37,Preguntas!$D$2:$D$3000,"Mid")</f>
        <v>4</v>
      </c>
      <c r="F37" s="10" t="n">
        <f aca="false">COUNTIFS(Preguntas!$B$2:$B$3000,$A37,Preguntas!$C$2:$C$3000,$B37,Preguntas!$D$2:$D$3000,"Senior")</f>
        <v>4</v>
      </c>
      <c r="G37" s="10" t="n">
        <f aca="false">SUM(D37:F37)</f>
        <v>12</v>
      </c>
      <c r="H37" s="10" t="n">
        <f aca="false">COUNTIFS(Preguntas!$B$2:$B$3000,$A37,Preguntas!$C$2:$C$3000,$B37,Preguntas!$G$2:$G$3000,"?*")</f>
        <v>2</v>
      </c>
      <c r="I37" s="10" t="n">
        <f aca="false">COUNTIFS(Preguntas!$B$2:$B$3000,$A37,Preguntas!$C$2:$C$3000,$B37,Preguntas!$O$2:$O$3000,"Revisada")</f>
        <v>0</v>
      </c>
      <c r="J37" s="10" t="n">
        <f aca="false">COUNTIFS(Preguntas!$B$2:$B$3000,$A37,Preguntas!$C$2:$C$3000,$B37,Preguntas!$P$2:$P$3000,"Sí")</f>
        <v>12</v>
      </c>
    </row>
    <row r="38" customFormat="false" ht="15" hidden="false" customHeight="false" outlineLevel="0" collapsed="false">
      <c r="A38" s="8" t="s">
        <v>115</v>
      </c>
      <c r="B38" s="8" t="s">
        <v>118</v>
      </c>
      <c r="C38" s="9" t="s">
        <v>119</v>
      </c>
      <c r="D38" s="10" t="n">
        <f aca="false">COUNTIFS(Preguntas!$B$2:$B$3000,$A38,Preguntas!$C$2:$C$3000,$B38,Preguntas!$D$2:$D$3000,"Junior")</f>
        <v>4</v>
      </c>
      <c r="E38" s="10" t="n">
        <f aca="false">COUNTIFS(Preguntas!$B$2:$B$3000,$A38,Preguntas!$C$2:$C$3000,$B38,Preguntas!$D$2:$D$3000,"Mid")</f>
        <v>4</v>
      </c>
      <c r="F38" s="10" t="n">
        <f aca="false">COUNTIFS(Preguntas!$B$2:$B$3000,$A38,Preguntas!$C$2:$C$3000,$B38,Preguntas!$D$2:$D$3000,"Senior")</f>
        <v>4</v>
      </c>
      <c r="G38" s="10" t="n">
        <f aca="false">SUM(D38:F38)</f>
        <v>12</v>
      </c>
      <c r="H38" s="10" t="n">
        <f aca="false">COUNTIFS(Preguntas!$B$2:$B$3000,$A38,Preguntas!$C$2:$C$3000,$B38,Preguntas!$G$2:$G$3000,"?*")</f>
        <v>3</v>
      </c>
      <c r="I38" s="10" t="n">
        <f aca="false">COUNTIFS(Preguntas!$B$2:$B$3000,$A38,Preguntas!$C$2:$C$3000,$B38,Preguntas!$O$2:$O$3000,"Revisada")</f>
        <v>0</v>
      </c>
      <c r="J38" s="10" t="n">
        <f aca="false">COUNTIFS(Preguntas!$B$2:$B$3000,$A38,Preguntas!$C$2:$C$3000,$B38,Preguntas!$P$2:$P$3000,"Sí")</f>
        <v>12</v>
      </c>
    </row>
    <row r="39" customFormat="false" ht="15" hidden="false" customHeight="false" outlineLevel="0" collapsed="false">
      <c r="A39" s="14" t="s">
        <v>36</v>
      </c>
      <c r="B39" s="15"/>
      <c r="C39" s="15"/>
      <c r="D39" s="16" t="n">
        <f aca="false">SUM(D2:D38)</f>
        <v>145</v>
      </c>
      <c r="E39" s="16" t="n">
        <f aca="false">SUM(E2:E38)</f>
        <v>145</v>
      </c>
      <c r="F39" s="16" t="n">
        <f aca="false">SUM(F2:F38)</f>
        <v>145</v>
      </c>
      <c r="G39" s="16" t="n">
        <f aca="false">SUM(G2:G38)</f>
        <v>435</v>
      </c>
      <c r="H39" s="16" t="n">
        <f aca="false">SUM(H2:H38)</f>
        <v>112</v>
      </c>
      <c r="I39" s="16" t="n">
        <f aca="false">SUM(I2:I38)</f>
        <v>0</v>
      </c>
      <c r="J39" s="16" t="n">
        <f aca="false">SUM(J2:J38)</f>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28"/>
    <col collapsed="false" customWidth="true" hidden="false" outlineLevel="0" max="4" min="4" style="0" width="9"/>
    <col collapsed="false" customWidth="true" hidden="false" outlineLevel="0" max="5" min="5" style="0" width="16"/>
    <col collapsed="false" customWidth="true" hidden="false" outlineLevel="0" max="6" min="6" style="0" width="44"/>
    <col collapsed="false" customWidth="true" hidden="false" outlineLevel="0" max="7" min="7" style="0" width="56"/>
    <col collapsed="false" customWidth="true" hidden="false" outlineLevel="0" max="8" min="8" style="0" width="40"/>
    <col collapsed="false" customWidth="true" hidden="false" outlineLevel="0" max="11" min="9" style="0" width="30"/>
    <col collapsed="false" customWidth="true" hidden="false" outlineLevel="0" max="12" min="12" style="0" width="46"/>
    <col collapsed="false" customWidth="true" hidden="false" outlineLevel="0" max="14" min="13" style="0" width="40"/>
    <col collapsed="false" customWidth="true" hidden="false" outlineLevel="0" max="15" min="15" style="0" width="18"/>
    <col collapsed="false" customWidth="true" hidden="false" outlineLevel="0" max="16" min="16" style="0" width="8"/>
    <col collapsed="false" customWidth="true" hidden="false" outlineLevel="0" max="17" min="17" style="0" width="36"/>
    <col collapsed="false" customWidth="true" hidden="false" outlineLevel="0" max="18" min="18" style="0" width="32"/>
    <col collapsed="false" customWidth="true" hidden="false" outlineLevel="0" max="19" min="19" style="0" width="40"/>
    <col collapsed="false" customWidth="true" hidden="false" outlineLevel="0" max="20" min="20" style="0" width="36"/>
  </cols>
  <sheetData>
    <row r="1" customFormat="false" ht="31.5" hidden="false" customHeight="true" outlineLevel="0" collapsed="false">
      <c r="A1" s="17" t="s">
        <v>7</v>
      </c>
      <c r="B1" s="17" t="s">
        <v>30</v>
      </c>
      <c r="C1" s="17" t="s">
        <v>31</v>
      </c>
      <c r="D1" s="17" t="s">
        <v>120</v>
      </c>
      <c r="E1" s="17" t="s">
        <v>121</v>
      </c>
      <c r="F1" s="17" t="s">
        <v>122</v>
      </c>
      <c r="G1" s="17" t="s">
        <v>23</v>
      </c>
      <c r="H1" s="17" t="s">
        <v>123</v>
      </c>
      <c r="I1" s="17" t="s">
        <v>124</v>
      </c>
      <c r="J1" s="17" t="s">
        <v>125</v>
      </c>
      <c r="K1" s="17" t="s">
        <v>126</v>
      </c>
      <c r="L1" s="17" t="s">
        <v>127</v>
      </c>
      <c r="M1" s="17" t="s">
        <v>26</v>
      </c>
      <c r="N1" s="17" t="s">
        <v>128</v>
      </c>
      <c r="O1" s="17" t="s">
        <v>129</v>
      </c>
      <c r="P1" s="17" t="s">
        <v>130</v>
      </c>
      <c r="Q1" s="17" t="s">
        <v>131</v>
      </c>
      <c r="R1" s="17" t="s">
        <v>132</v>
      </c>
      <c r="S1" s="17" t="s">
        <v>133</v>
      </c>
      <c r="T1" s="17" t="s">
        <v>134</v>
      </c>
    </row>
    <row r="2" customFormat="false" ht="23.85" hidden="false" customHeight="false" outlineLevel="0" collapsed="false">
      <c r="A2" s="18" t="s">
        <v>135</v>
      </c>
      <c r="B2" s="18" t="s">
        <v>40</v>
      </c>
      <c r="C2" s="18" t="s">
        <v>41</v>
      </c>
      <c r="D2" s="18" t="s">
        <v>33</v>
      </c>
      <c r="E2" s="18" t="s">
        <v>17</v>
      </c>
      <c r="F2" s="19" t="s">
        <v>136</v>
      </c>
      <c r="G2" s="19"/>
      <c r="H2" s="19" t="s">
        <v>137</v>
      </c>
      <c r="I2" s="19" t="s">
        <v>138</v>
      </c>
      <c r="J2" s="19" t="s">
        <v>139</v>
      </c>
      <c r="K2" s="19" t="s">
        <v>140</v>
      </c>
      <c r="L2" s="19" t="s">
        <v>141</v>
      </c>
      <c r="M2" s="19"/>
      <c r="N2" s="19"/>
      <c r="O2" s="19" t="s">
        <v>142</v>
      </c>
      <c r="P2" s="19" t="s">
        <v>143</v>
      </c>
      <c r="Q2" s="19"/>
      <c r="R2" s="19"/>
      <c r="S2" s="19"/>
      <c r="T2" s="19"/>
    </row>
    <row r="3" customFormat="false" ht="68.65" hidden="false" customHeight="false" outlineLevel="0" collapsed="false">
      <c r="A3" s="18" t="s">
        <v>144</v>
      </c>
      <c r="B3" s="18" t="s">
        <v>40</v>
      </c>
      <c r="C3" s="18" t="s">
        <v>41</v>
      </c>
      <c r="D3" s="18" t="s">
        <v>33</v>
      </c>
      <c r="E3" s="18" t="s">
        <v>21</v>
      </c>
      <c r="F3" s="19" t="s">
        <v>145</v>
      </c>
      <c r="G3" s="19"/>
      <c r="H3" s="19" t="s">
        <v>146</v>
      </c>
      <c r="I3" s="19"/>
      <c r="J3" s="19"/>
      <c r="K3" s="19"/>
      <c r="L3" s="19" t="s">
        <v>147</v>
      </c>
      <c r="M3" s="19"/>
      <c r="N3" s="19"/>
      <c r="O3" s="19" t="s">
        <v>142</v>
      </c>
      <c r="P3" s="19" t="s">
        <v>143</v>
      </c>
      <c r="Q3" s="19"/>
      <c r="R3" s="19"/>
      <c r="S3" s="19"/>
      <c r="T3" s="19"/>
    </row>
    <row r="4" customFormat="false" ht="79.85" hidden="false" customHeight="false" outlineLevel="0" collapsed="false">
      <c r="A4" s="18" t="s">
        <v>148</v>
      </c>
      <c r="B4" s="18" t="s">
        <v>40</v>
      </c>
      <c r="C4" s="18" t="s">
        <v>41</v>
      </c>
      <c r="D4" s="18" t="s">
        <v>33</v>
      </c>
      <c r="E4" s="18" t="s">
        <v>17</v>
      </c>
      <c r="F4" s="19" t="s">
        <v>149</v>
      </c>
      <c r="G4" s="19"/>
      <c r="H4" s="19" t="s">
        <v>150</v>
      </c>
      <c r="I4" s="19" t="s">
        <v>151</v>
      </c>
      <c r="J4" s="19" t="s">
        <v>152</v>
      </c>
      <c r="K4" s="19" t="s">
        <v>153</v>
      </c>
      <c r="L4" s="19" t="s">
        <v>154</v>
      </c>
      <c r="M4" s="19" t="s">
        <v>155</v>
      </c>
      <c r="N4" s="19" t="s">
        <v>156</v>
      </c>
      <c r="O4" s="19" t="s">
        <v>142</v>
      </c>
      <c r="P4" s="19" t="s">
        <v>143</v>
      </c>
      <c r="Q4" s="19" t="s">
        <v>157</v>
      </c>
      <c r="R4" s="19"/>
      <c r="S4" s="19"/>
      <c r="T4" s="19"/>
    </row>
    <row r="5" customFormat="false" ht="57.45" hidden="false" customHeight="false" outlineLevel="0" collapsed="false">
      <c r="A5" s="18" t="s">
        <v>158</v>
      </c>
      <c r="B5" s="18" t="s">
        <v>40</v>
      </c>
      <c r="C5" s="18" t="s">
        <v>41</v>
      </c>
      <c r="D5" s="18" t="s">
        <v>34</v>
      </c>
      <c r="E5" s="18" t="s">
        <v>17</v>
      </c>
      <c r="F5" s="19" t="s">
        <v>159</v>
      </c>
      <c r="G5" s="19"/>
      <c r="H5" s="19" t="s">
        <v>160</v>
      </c>
      <c r="I5" s="19" t="s">
        <v>161</v>
      </c>
      <c r="J5" s="19" t="s">
        <v>162</v>
      </c>
      <c r="K5" s="19" t="s">
        <v>163</v>
      </c>
      <c r="L5" s="19" t="s">
        <v>164</v>
      </c>
      <c r="M5" s="19" t="s">
        <v>165</v>
      </c>
      <c r="N5" s="19" t="s">
        <v>166</v>
      </c>
      <c r="O5" s="19" t="s">
        <v>142</v>
      </c>
      <c r="P5" s="19" t="s">
        <v>143</v>
      </c>
      <c r="Q5" s="19" t="s">
        <v>167</v>
      </c>
      <c r="R5" s="19" t="s">
        <v>168</v>
      </c>
      <c r="S5" s="19" t="s">
        <v>169</v>
      </c>
      <c r="T5" s="19"/>
    </row>
    <row r="6" customFormat="false" ht="79.85" hidden="false" customHeight="false" outlineLevel="0" collapsed="false">
      <c r="A6" s="18" t="s">
        <v>170</v>
      </c>
      <c r="B6" s="18" t="s">
        <v>40</v>
      </c>
      <c r="C6" s="18" t="s">
        <v>41</v>
      </c>
      <c r="D6" s="18" t="s">
        <v>34</v>
      </c>
      <c r="E6" s="18" t="s">
        <v>17</v>
      </c>
      <c r="F6" s="19" t="s">
        <v>171</v>
      </c>
      <c r="G6" s="19"/>
      <c r="H6" s="19" t="s">
        <v>172</v>
      </c>
      <c r="I6" s="19" t="s">
        <v>173</v>
      </c>
      <c r="J6" s="19" t="s">
        <v>174</v>
      </c>
      <c r="K6" s="19" t="s">
        <v>175</v>
      </c>
      <c r="L6" s="19" t="s">
        <v>176</v>
      </c>
      <c r="M6" s="19" t="s">
        <v>177</v>
      </c>
      <c r="N6" s="19" t="s">
        <v>178</v>
      </c>
      <c r="O6" s="19" t="s">
        <v>142</v>
      </c>
      <c r="P6" s="19" t="s">
        <v>143</v>
      </c>
      <c r="Q6" s="19"/>
      <c r="R6" s="19"/>
      <c r="S6" s="19"/>
      <c r="T6" s="19"/>
    </row>
    <row r="7" customFormat="false" ht="35.05" hidden="false" customHeight="false" outlineLevel="0" collapsed="false">
      <c r="A7" s="18" t="s">
        <v>179</v>
      </c>
      <c r="B7" s="18" t="s">
        <v>40</v>
      </c>
      <c r="C7" s="18" t="s">
        <v>41</v>
      </c>
      <c r="D7" s="18" t="s">
        <v>34</v>
      </c>
      <c r="E7" s="18" t="s">
        <v>19</v>
      </c>
      <c r="F7" s="19" t="s">
        <v>180</v>
      </c>
      <c r="G7" s="19"/>
      <c r="H7" s="19" t="s">
        <v>181</v>
      </c>
      <c r="I7" s="19" t="s">
        <v>182</v>
      </c>
      <c r="J7" s="19" t="s">
        <v>183</v>
      </c>
      <c r="K7" s="19" t="s">
        <v>184</v>
      </c>
      <c r="L7" s="19" t="s">
        <v>185</v>
      </c>
      <c r="M7" s="19"/>
      <c r="N7" s="19"/>
      <c r="O7" s="19" t="s">
        <v>142</v>
      </c>
      <c r="P7" s="19" t="s">
        <v>143</v>
      </c>
      <c r="Q7" s="19"/>
      <c r="R7" s="19"/>
      <c r="S7" s="19"/>
      <c r="T7" s="19" t="s">
        <v>186</v>
      </c>
    </row>
    <row r="8" customFormat="false" ht="68.65" hidden="false" customHeight="false" outlineLevel="0" collapsed="false">
      <c r="A8" s="18" t="s">
        <v>187</v>
      </c>
      <c r="B8" s="18" t="s">
        <v>40</v>
      </c>
      <c r="C8" s="18" t="s">
        <v>41</v>
      </c>
      <c r="D8" s="18" t="s">
        <v>35</v>
      </c>
      <c r="E8" s="18" t="s">
        <v>17</v>
      </c>
      <c r="F8" s="19" t="s">
        <v>188</v>
      </c>
      <c r="G8" s="19"/>
      <c r="H8" s="19" t="s">
        <v>189</v>
      </c>
      <c r="I8" s="19" t="s">
        <v>190</v>
      </c>
      <c r="J8" s="19" t="s">
        <v>191</v>
      </c>
      <c r="K8" s="19" t="s">
        <v>192</v>
      </c>
      <c r="L8" s="19" t="s">
        <v>193</v>
      </c>
      <c r="M8" s="19" t="s">
        <v>194</v>
      </c>
      <c r="N8" s="19" t="s">
        <v>195</v>
      </c>
      <c r="O8" s="19" t="s">
        <v>142</v>
      </c>
      <c r="P8" s="19" t="s">
        <v>143</v>
      </c>
      <c r="Q8" s="19"/>
      <c r="R8" s="19"/>
      <c r="S8" s="19"/>
      <c r="T8" s="19"/>
    </row>
    <row r="9" customFormat="false" ht="68.65" hidden="false" customHeight="false" outlineLevel="0" collapsed="false">
      <c r="A9" s="18" t="s">
        <v>196</v>
      </c>
      <c r="B9" s="18" t="s">
        <v>40</v>
      </c>
      <c r="C9" s="18" t="s">
        <v>41</v>
      </c>
      <c r="D9" s="18" t="s">
        <v>35</v>
      </c>
      <c r="E9" s="18" t="s">
        <v>17</v>
      </c>
      <c r="F9" s="19" t="s">
        <v>197</v>
      </c>
      <c r="G9" s="19"/>
      <c r="H9" s="19" t="s">
        <v>198</v>
      </c>
      <c r="I9" s="19" t="s">
        <v>199</v>
      </c>
      <c r="J9" s="19" t="s">
        <v>200</v>
      </c>
      <c r="K9" s="19" t="s">
        <v>201</v>
      </c>
      <c r="L9" s="19" t="s">
        <v>202</v>
      </c>
      <c r="M9" s="19" t="s">
        <v>203</v>
      </c>
      <c r="N9" s="19" t="s">
        <v>204</v>
      </c>
      <c r="O9" s="19" t="s">
        <v>142</v>
      </c>
      <c r="P9" s="19" t="s">
        <v>143</v>
      </c>
      <c r="Q9" s="19" t="s">
        <v>205</v>
      </c>
      <c r="R9" s="19"/>
      <c r="S9" s="19"/>
      <c r="T9" s="19"/>
    </row>
    <row r="10" customFormat="false" ht="23.85" hidden="false" customHeight="false" outlineLevel="0" collapsed="false">
      <c r="A10" s="18" t="s">
        <v>206</v>
      </c>
      <c r="B10" s="18" t="s">
        <v>40</v>
      </c>
      <c r="C10" s="18" t="s">
        <v>41</v>
      </c>
      <c r="D10" s="18" t="s">
        <v>35</v>
      </c>
      <c r="E10" s="18" t="s">
        <v>19</v>
      </c>
      <c r="F10" s="19" t="s">
        <v>207</v>
      </c>
      <c r="G10" s="19"/>
      <c r="H10" s="19" t="s">
        <v>208</v>
      </c>
      <c r="I10" s="19" t="s">
        <v>209</v>
      </c>
      <c r="J10" s="19" t="s">
        <v>210</v>
      </c>
      <c r="K10" s="19" t="s">
        <v>211</v>
      </c>
      <c r="L10" s="19" t="s">
        <v>212</v>
      </c>
      <c r="M10" s="19"/>
      <c r="N10" s="19"/>
      <c r="O10" s="19" t="s">
        <v>142</v>
      </c>
      <c r="P10" s="19" t="s">
        <v>143</v>
      </c>
      <c r="Q10" s="19"/>
      <c r="R10" s="19"/>
      <c r="S10" s="19"/>
      <c r="T10" s="19"/>
    </row>
    <row r="11" customFormat="false" ht="57.45" hidden="false" customHeight="false" outlineLevel="0" collapsed="false">
      <c r="A11" s="18" t="s">
        <v>213</v>
      </c>
      <c r="B11" s="18" t="s">
        <v>40</v>
      </c>
      <c r="C11" s="18" t="s">
        <v>43</v>
      </c>
      <c r="D11" s="18" t="s">
        <v>33</v>
      </c>
      <c r="E11" s="18" t="s">
        <v>17</v>
      </c>
      <c r="F11" s="19" t="s">
        <v>214</v>
      </c>
      <c r="G11" s="19"/>
      <c r="H11" s="19" t="s">
        <v>215</v>
      </c>
      <c r="I11" s="19" t="s">
        <v>216</v>
      </c>
      <c r="J11" s="19" t="s">
        <v>217</v>
      </c>
      <c r="K11" s="19" t="s">
        <v>218</v>
      </c>
      <c r="L11" s="19" t="s">
        <v>219</v>
      </c>
      <c r="M11" s="19" t="s">
        <v>220</v>
      </c>
      <c r="N11" s="19" t="s">
        <v>221</v>
      </c>
      <c r="O11" s="19" t="s">
        <v>142</v>
      </c>
      <c r="P11" s="19" t="s">
        <v>143</v>
      </c>
      <c r="Q11" s="19" t="s">
        <v>222</v>
      </c>
      <c r="R11" s="19"/>
      <c r="S11" s="19"/>
      <c r="T11" s="19"/>
    </row>
    <row r="12" customFormat="false" ht="46.25" hidden="false" customHeight="false" outlineLevel="0" collapsed="false">
      <c r="A12" s="18" t="s">
        <v>223</v>
      </c>
      <c r="B12" s="18" t="s">
        <v>40</v>
      </c>
      <c r="C12" s="18" t="s">
        <v>43</v>
      </c>
      <c r="D12" s="18" t="s">
        <v>33</v>
      </c>
      <c r="E12" s="18" t="s">
        <v>17</v>
      </c>
      <c r="F12" s="19" t="s">
        <v>224</v>
      </c>
      <c r="G12" s="19"/>
      <c r="H12" s="19" t="s">
        <v>225</v>
      </c>
      <c r="I12" s="19" t="s">
        <v>226</v>
      </c>
      <c r="J12" s="19" t="s">
        <v>227</v>
      </c>
      <c r="K12" s="19" t="s">
        <v>228</v>
      </c>
      <c r="L12" s="19" t="s">
        <v>229</v>
      </c>
      <c r="M12" s="19" t="s">
        <v>230</v>
      </c>
      <c r="N12" s="19" t="s">
        <v>231</v>
      </c>
      <c r="O12" s="19" t="s">
        <v>142</v>
      </c>
      <c r="P12" s="19" t="s">
        <v>143</v>
      </c>
      <c r="Q12" s="19"/>
      <c r="R12" s="19"/>
      <c r="S12" s="19"/>
      <c r="T12" s="19"/>
    </row>
    <row r="13" customFormat="false" ht="35.05" hidden="false" customHeight="false" outlineLevel="0" collapsed="false">
      <c r="A13" s="18" t="s">
        <v>232</v>
      </c>
      <c r="B13" s="18" t="s">
        <v>40</v>
      </c>
      <c r="C13" s="18" t="s">
        <v>43</v>
      </c>
      <c r="D13" s="18" t="s">
        <v>33</v>
      </c>
      <c r="E13" s="18" t="s">
        <v>17</v>
      </c>
      <c r="F13" s="19" t="s">
        <v>233</v>
      </c>
      <c r="G13" s="19"/>
      <c r="H13" s="19" t="s">
        <v>234</v>
      </c>
      <c r="I13" s="19" t="s">
        <v>235</v>
      </c>
      <c r="J13" s="19" t="s">
        <v>236</v>
      </c>
      <c r="K13" s="19" t="s">
        <v>237</v>
      </c>
      <c r="L13" s="19" t="s">
        <v>238</v>
      </c>
      <c r="M13" s="19" t="s">
        <v>239</v>
      </c>
      <c r="N13" s="19" t="s">
        <v>240</v>
      </c>
      <c r="O13" s="19" t="s">
        <v>142</v>
      </c>
      <c r="P13" s="19" t="s">
        <v>143</v>
      </c>
      <c r="Q13" s="19"/>
      <c r="R13" s="19" t="s">
        <v>241</v>
      </c>
      <c r="S13" s="19" t="s">
        <v>242</v>
      </c>
      <c r="T13" s="19"/>
    </row>
    <row r="14" customFormat="false" ht="68.65" hidden="false" customHeight="false" outlineLevel="0" collapsed="false">
      <c r="A14" s="18" t="s">
        <v>243</v>
      </c>
      <c r="B14" s="18" t="s">
        <v>40</v>
      </c>
      <c r="C14" s="18" t="s">
        <v>43</v>
      </c>
      <c r="D14" s="18" t="s">
        <v>34</v>
      </c>
      <c r="E14" s="18" t="s">
        <v>17</v>
      </c>
      <c r="F14" s="19" t="s">
        <v>244</v>
      </c>
      <c r="G14" s="19"/>
      <c r="H14" s="19" t="s">
        <v>245</v>
      </c>
      <c r="I14" s="19" t="s">
        <v>246</v>
      </c>
      <c r="J14" s="19" t="s">
        <v>247</v>
      </c>
      <c r="K14" s="19" t="s">
        <v>248</v>
      </c>
      <c r="L14" s="19" t="s">
        <v>249</v>
      </c>
      <c r="M14" s="19" t="s">
        <v>250</v>
      </c>
      <c r="N14" s="19" t="s">
        <v>251</v>
      </c>
      <c r="O14" s="19" t="s">
        <v>142</v>
      </c>
      <c r="P14" s="19" t="s">
        <v>143</v>
      </c>
      <c r="Q14" s="19" t="s">
        <v>252</v>
      </c>
      <c r="R14" s="19"/>
      <c r="S14" s="19"/>
      <c r="T14" s="19"/>
    </row>
    <row r="15" customFormat="false" ht="57.45" hidden="false" customHeight="false" outlineLevel="0" collapsed="false">
      <c r="A15" s="18" t="s">
        <v>253</v>
      </c>
      <c r="B15" s="18" t="s">
        <v>40</v>
      </c>
      <c r="C15" s="18" t="s">
        <v>43</v>
      </c>
      <c r="D15" s="18" t="s">
        <v>34</v>
      </c>
      <c r="E15" s="18" t="s">
        <v>17</v>
      </c>
      <c r="F15" s="19" t="s">
        <v>254</v>
      </c>
      <c r="G15" s="19"/>
      <c r="H15" s="19" t="s">
        <v>255</v>
      </c>
      <c r="I15" s="19" t="s">
        <v>256</v>
      </c>
      <c r="J15" s="19" t="s">
        <v>257</v>
      </c>
      <c r="K15" s="19" t="s">
        <v>258</v>
      </c>
      <c r="L15" s="19" t="s">
        <v>259</v>
      </c>
      <c r="M15" s="19" t="s">
        <v>260</v>
      </c>
      <c r="N15" s="19" t="s">
        <v>261</v>
      </c>
      <c r="O15" s="19" t="s">
        <v>142</v>
      </c>
      <c r="P15" s="19" t="s">
        <v>143</v>
      </c>
      <c r="Q15" s="19" t="s">
        <v>262</v>
      </c>
      <c r="R15" s="19" t="s">
        <v>263</v>
      </c>
      <c r="S15" s="19" t="s">
        <v>264</v>
      </c>
      <c r="T15" s="19"/>
    </row>
    <row r="16" customFormat="false" ht="57.45" hidden="false" customHeight="false" outlineLevel="0" collapsed="false">
      <c r="A16" s="18" t="s">
        <v>265</v>
      </c>
      <c r="B16" s="18" t="s">
        <v>40</v>
      </c>
      <c r="C16" s="18" t="s">
        <v>43</v>
      </c>
      <c r="D16" s="18" t="s">
        <v>34</v>
      </c>
      <c r="E16" s="18" t="s">
        <v>17</v>
      </c>
      <c r="F16" s="19" t="s">
        <v>266</v>
      </c>
      <c r="G16" s="19"/>
      <c r="H16" s="19" t="s">
        <v>267</v>
      </c>
      <c r="I16" s="19" t="s">
        <v>268</v>
      </c>
      <c r="J16" s="19" t="s">
        <v>269</v>
      </c>
      <c r="K16" s="19" t="s">
        <v>270</v>
      </c>
      <c r="L16" s="19" t="s">
        <v>271</v>
      </c>
      <c r="M16" s="19" t="s">
        <v>272</v>
      </c>
      <c r="N16" s="19" t="s">
        <v>273</v>
      </c>
      <c r="O16" s="19" t="s">
        <v>142</v>
      </c>
      <c r="P16" s="19" t="s">
        <v>143</v>
      </c>
      <c r="Q16" s="19" t="s">
        <v>274</v>
      </c>
      <c r="R16" s="19"/>
      <c r="S16" s="19"/>
      <c r="T16" s="19"/>
    </row>
    <row r="17" customFormat="false" ht="57.45" hidden="false" customHeight="false" outlineLevel="0" collapsed="false">
      <c r="A17" s="18" t="s">
        <v>275</v>
      </c>
      <c r="B17" s="18" t="s">
        <v>40</v>
      </c>
      <c r="C17" s="18" t="s">
        <v>43</v>
      </c>
      <c r="D17" s="18" t="s">
        <v>35</v>
      </c>
      <c r="E17" s="18" t="s">
        <v>17</v>
      </c>
      <c r="F17" s="19" t="s">
        <v>276</v>
      </c>
      <c r="G17" s="19"/>
      <c r="H17" s="19" t="s">
        <v>277</v>
      </c>
      <c r="I17" s="19" t="s">
        <v>278</v>
      </c>
      <c r="J17" s="19" t="s">
        <v>279</v>
      </c>
      <c r="K17" s="19" t="s">
        <v>269</v>
      </c>
      <c r="L17" s="19" t="s">
        <v>280</v>
      </c>
      <c r="M17" s="19" t="s">
        <v>281</v>
      </c>
      <c r="N17" s="19" t="s">
        <v>282</v>
      </c>
      <c r="O17" s="19" t="s">
        <v>142</v>
      </c>
      <c r="P17" s="19" t="s">
        <v>143</v>
      </c>
      <c r="Q17" s="19"/>
      <c r="R17" s="19"/>
      <c r="S17" s="19"/>
      <c r="T17" s="19"/>
    </row>
    <row r="18" customFormat="false" ht="68.65" hidden="false" customHeight="false" outlineLevel="0" collapsed="false">
      <c r="A18" s="18" t="s">
        <v>283</v>
      </c>
      <c r="B18" s="18" t="s">
        <v>40</v>
      </c>
      <c r="C18" s="18" t="s">
        <v>43</v>
      </c>
      <c r="D18" s="18" t="s">
        <v>35</v>
      </c>
      <c r="E18" s="18" t="s">
        <v>17</v>
      </c>
      <c r="F18" s="19" t="s">
        <v>284</v>
      </c>
      <c r="G18" s="19"/>
      <c r="H18" s="19" t="s">
        <v>285</v>
      </c>
      <c r="I18" s="19" t="s">
        <v>286</v>
      </c>
      <c r="J18" s="19" t="s">
        <v>287</v>
      </c>
      <c r="K18" s="19" t="s">
        <v>288</v>
      </c>
      <c r="L18" s="19" t="s">
        <v>289</v>
      </c>
      <c r="M18" s="19" t="s">
        <v>290</v>
      </c>
      <c r="N18" s="19" t="s">
        <v>291</v>
      </c>
      <c r="O18" s="19" t="s">
        <v>142</v>
      </c>
      <c r="P18" s="19" t="s">
        <v>143</v>
      </c>
      <c r="Q18" s="19" t="s">
        <v>292</v>
      </c>
      <c r="R18" s="19"/>
      <c r="S18" s="19"/>
      <c r="T18" s="19"/>
    </row>
    <row r="19" customFormat="false" ht="57.45" hidden="false" customHeight="false" outlineLevel="0" collapsed="false">
      <c r="A19" s="18" t="s">
        <v>293</v>
      </c>
      <c r="B19" s="18" t="s">
        <v>40</v>
      </c>
      <c r="C19" s="18" t="s">
        <v>43</v>
      </c>
      <c r="D19" s="18" t="s">
        <v>35</v>
      </c>
      <c r="E19" s="18" t="s">
        <v>17</v>
      </c>
      <c r="F19" s="19" t="s">
        <v>294</v>
      </c>
      <c r="G19" s="19"/>
      <c r="H19" s="19" t="s">
        <v>295</v>
      </c>
      <c r="I19" s="19" t="s">
        <v>296</v>
      </c>
      <c r="J19" s="19" t="s">
        <v>297</v>
      </c>
      <c r="K19" s="19" t="s">
        <v>298</v>
      </c>
      <c r="L19" s="19" t="s">
        <v>299</v>
      </c>
      <c r="M19" s="19" t="s">
        <v>300</v>
      </c>
      <c r="N19" s="19" t="s">
        <v>301</v>
      </c>
      <c r="O19" s="19" t="s">
        <v>142</v>
      </c>
      <c r="P19" s="19" t="s">
        <v>143</v>
      </c>
      <c r="Q19" s="19" t="s">
        <v>302</v>
      </c>
      <c r="R19" s="19"/>
      <c r="S19" s="19"/>
      <c r="T19" s="19"/>
    </row>
    <row r="20" customFormat="false" ht="23.85" hidden="false" customHeight="false" outlineLevel="0" collapsed="false">
      <c r="A20" s="18" t="s">
        <v>303</v>
      </c>
      <c r="B20" s="18" t="s">
        <v>40</v>
      </c>
      <c r="C20" s="18" t="s">
        <v>45</v>
      </c>
      <c r="D20" s="18" t="s">
        <v>33</v>
      </c>
      <c r="E20" s="18" t="s">
        <v>17</v>
      </c>
      <c r="F20" s="19" t="s">
        <v>304</v>
      </c>
      <c r="G20" s="19"/>
      <c r="H20" s="19" t="s">
        <v>305</v>
      </c>
      <c r="I20" s="19" t="s">
        <v>306</v>
      </c>
      <c r="J20" s="19" t="s">
        <v>307</v>
      </c>
      <c r="K20" s="19" t="s">
        <v>308</v>
      </c>
      <c r="L20" s="19" t="s">
        <v>309</v>
      </c>
      <c r="M20" s="19"/>
      <c r="N20" s="19"/>
      <c r="O20" s="19" t="s">
        <v>142</v>
      </c>
      <c r="P20" s="19" t="s">
        <v>143</v>
      </c>
      <c r="Q20" s="19"/>
      <c r="R20" s="19"/>
      <c r="S20" s="19"/>
      <c r="T20" s="19"/>
    </row>
    <row r="21" customFormat="false" ht="23.85" hidden="false" customHeight="false" outlineLevel="0" collapsed="false">
      <c r="A21" s="18" t="s">
        <v>310</v>
      </c>
      <c r="B21" s="18" t="s">
        <v>40</v>
      </c>
      <c r="C21" s="18" t="s">
        <v>45</v>
      </c>
      <c r="D21" s="18" t="s">
        <v>33</v>
      </c>
      <c r="E21" s="18" t="s">
        <v>19</v>
      </c>
      <c r="F21" s="19" t="s">
        <v>311</v>
      </c>
      <c r="G21" s="19"/>
      <c r="H21" s="19" t="s">
        <v>312</v>
      </c>
      <c r="I21" s="19" t="s">
        <v>313</v>
      </c>
      <c r="J21" s="19" t="s">
        <v>314</v>
      </c>
      <c r="K21" s="19" t="s">
        <v>315</v>
      </c>
      <c r="L21" s="19" t="s">
        <v>316</v>
      </c>
      <c r="M21" s="19"/>
      <c r="N21" s="19"/>
      <c r="O21" s="19" t="s">
        <v>142</v>
      </c>
      <c r="P21" s="19" t="s">
        <v>143</v>
      </c>
      <c r="Q21" s="19"/>
      <c r="R21" s="19"/>
      <c r="S21" s="19"/>
      <c r="T21" s="19"/>
    </row>
    <row r="22" customFormat="false" ht="35.05" hidden="false" customHeight="false" outlineLevel="0" collapsed="false">
      <c r="A22" s="18" t="s">
        <v>317</v>
      </c>
      <c r="B22" s="18" t="s">
        <v>40</v>
      </c>
      <c r="C22" s="18" t="s">
        <v>45</v>
      </c>
      <c r="D22" s="18" t="s">
        <v>33</v>
      </c>
      <c r="E22" s="18" t="s">
        <v>17</v>
      </c>
      <c r="F22" s="19" t="s">
        <v>318</v>
      </c>
      <c r="G22" s="19"/>
      <c r="H22" s="19" t="s">
        <v>319</v>
      </c>
      <c r="I22" s="19" t="s">
        <v>320</v>
      </c>
      <c r="J22" s="19" t="s">
        <v>321</v>
      </c>
      <c r="K22" s="19" t="s">
        <v>322</v>
      </c>
      <c r="L22" s="19" t="s">
        <v>323</v>
      </c>
      <c r="M22" s="19" t="s">
        <v>324</v>
      </c>
      <c r="N22" s="19" t="s">
        <v>325</v>
      </c>
      <c r="O22" s="19" t="s">
        <v>142</v>
      </c>
      <c r="P22" s="19" t="s">
        <v>143</v>
      </c>
      <c r="Q22" s="19"/>
      <c r="R22" s="19"/>
      <c r="S22" s="19"/>
      <c r="T22" s="19"/>
    </row>
    <row r="23" customFormat="false" ht="23.85" hidden="false" customHeight="false" outlineLevel="0" collapsed="false">
      <c r="A23" s="18" t="s">
        <v>326</v>
      </c>
      <c r="B23" s="18" t="s">
        <v>40</v>
      </c>
      <c r="C23" s="18" t="s">
        <v>45</v>
      </c>
      <c r="D23" s="18" t="s">
        <v>34</v>
      </c>
      <c r="E23" s="18" t="s">
        <v>17</v>
      </c>
      <c r="F23" s="19" t="s">
        <v>327</v>
      </c>
      <c r="G23" s="19"/>
      <c r="H23" s="19" t="s">
        <v>328</v>
      </c>
      <c r="I23" s="19" t="s">
        <v>329</v>
      </c>
      <c r="J23" s="19" t="s">
        <v>330</v>
      </c>
      <c r="K23" s="19" t="s">
        <v>331</v>
      </c>
      <c r="L23" s="19" t="s">
        <v>332</v>
      </c>
      <c r="M23" s="19"/>
      <c r="N23" s="19"/>
      <c r="O23" s="19" t="s">
        <v>142</v>
      </c>
      <c r="P23" s="19" t="s">
        <v>143</v>
      </c>
      <c r="Q23" s="19"/>
      <c r="R23" s="19"/>
      <c r="S23" s="19"/>
      <c r="T23" s="19"/>
    </row>
    <row r="24" customFormat="false" ht="23.85" hidden="false" customHeight="false" outlineLevel="0" collapsed="false">
      <c r="A24" s="18" t="s">
        <v>333</v>
      </c>
      <c r="B24" s="18" t="s">
        <v>40</v>
      </c>
      <c r="C24" s="18" t="s">
        <v>45</v>
      </c>
      <c r="D24" s="18" t="s">
        <v>34</v>
      </c>
      <c r="E24" s="18" t="s">
        <v>17</v>
      </c>
      <c r="F24" s="19" t="s">
        <v>334</v>
      </c>
      <c r="G24" s="19"/>
      <c r="H24" s="19" t="s">
        <v>335</v>
      </c>
      <c r="I24" s="19" t="s">
        <v>336</v>
      </c>
      <c r="J24" s="19" t="s">
        <v>337</v>
      </c>
      <c r="K24" s="19" t="s">
        <v>338</v>
      </c>
      <c r="L24" s="19" t="s">
        <v>339</v>
      </c>
      <c r="M24" s="19"/>
      <c r="N24" s="19"/>
      <c r="O24" s="19" t="s">
        <v>142</v>
      </c>
      <c r="P24" s="19" t="s">
        <v>143</v>
      </c>
      <c r="Q24" s="19"/>
      <c r="R24" s="19"/>
      <c r="S24" s="19"/>
      <c r="T24" s="19"/>
    </row>
    <row r="25" customFormat="false" ht="23.85" hidden="false" customHeight="false" outlineLevel="0" collapsed="false">
      <c r="A25" s="18" t="s">
        <v>340</v>
      </c>
      <c r="B25" s="18" t="s">
        <v>40</v>
      </c>
      <c r="C25" s="18" t="s">
        <v>45</v>
      </c>
      <c r="D25" s="18" t="s">
        <v>34</v>
      </c>
      <c r="E25" s="18" t="s">
        <v>17</v>
      </c>
      <c r="F25" s="19" t="s">
        <v>341</v>
      </c>
      <c r="G25" s="19"/>
      <c r="H25" s="19" t="s">
        <v>342</v>
      </c>
      <c r="I25" s="19" t="s">
        <v>343</v>
      </c>
      <c r="J25" s="19" t="s">
        <v>344</v>
      </c>
      <c r="K25" s="19" t="s">
        <v>345</v>
      </c>
      <c r="L25" s="19" t="s">
        <v>346</v>
      </c>
      <c r="M25" s="19" t="s">
        <v>347</v>
      </c>
      <c r="N25" s="19" t="s">
        <v>348</v>
      </c>
      <c r="O25" s="19" t="s">
        <v>142</v>
      </c>
      <c r="P25" s="19" t="s">
        <v>143</v>
      </c>
      <c r="Q25" s="19"/>
      <c r="R25" s="19"/>
      <c r="S25" s="19"/>
      <c r="T25" s="19"/>
    </row>
    <row r="26" customFormat="false" ht="35.05" hidden="false" customHeight="false" outlineLevel="0" collapsed="false">
      <c r="A26" s="18" t="s">
        <v>349</v>
      </c>
      <c r="B26" s="18" t="s">
        <v>40</v>
      </c>
      <c r="C26" s="18" t="s">
        <v>45</v>
      </c>
      <c r="D26" s="18" t="s">
        <v>35</v>
      </c>
      <c r="E26" s="18" t="s">
        <v>17</v>
      </c>
      <c r="F26" s="19" t="s">
        <v>350</v>
      </c>
      <c r="G26" s="19"/>
      <c r="H26" s="19" t="s">
        <v>351</v>
      </c>
      <c r="I26" s="19" t="s">
        <v>352</v>
      </c>
      <c r="J26" s="19" t="s">
        <v>353</v>
      </c>
      <c r="K26" s="19" t="s">
        <v>354</v>
      </c>
      <c r="L26" s="19" t="s">
        <v>355</v>
      </c>
      <c r="M26" s="19" t="s">
        <v>356</v>
      </c>
      <c r="N26" s="19" t="s">
        <v>357</v>
      </c>
      <c r="O26" s="19" t="s">
        <v>142</v>
      </c>
      <c r="P26" s="19" t="s">
        <v>143</v>
      </c>
      <c r="Q26" s="19"/>
      <c r="R26" s="19"/>
      <c r="S26" s="19"/>
      <c r="T26" s="19"/>
    </row>
    <row r="27" customFormat="false" ht="23.85" hidden="false" customHeight="false" outlineLevel="0" collapsed="false">
      <c r="A27" s="18" t="s">
        <v>358</v>
      </c>
      <c r="B27" s="18" t="s">
        <v>40</v>
      </c>
      <c r="C27" s="18" t="s">
        <v>45</v>
      </c>
      <c r="D27" s="18" t="s">
        <v>35</v>
      </c>
      <c r="E27" s="18" t="s">
        <v>17</v>
      </c>
      <c r="F27" s="19" t="s">
        <v>359</v>
      </c>
      <c r="G27" s="19"/>
      <c r="H27" s="19" t="s">
        <v>360</v>
      </c>
      <c r="I27" s="19" t="s">
        <v>361</v>
      </c>
      <c r="J27" s="19" t="s">
        <v>362</v>
      </c>
      <c r="K27" s="19" t="s">
        <v>363</v>
      </c>
      <c r="L27" s="19" t="s">
        <v>364</v>
      </c>
      <c r="M27" s="19"/>
      <c r="N27" s="19"/>
      <c r="O27" s="19" t="s">
        <v>142</v>
      </c>
      <c r="P27" s="19" t="s">
        <v>143</v>
      </c>
      <c r="Q27" s="19"/>
      <c r="R27" s="19"/>
      <c r="S27" s="19"/>
      <c r="T27" s="19"/>
    </row>
    <row r="28" customFormat="false" ht="23.85" hidden="false" customHeight="false" outlineLevel="0" collapsed="false">
      <c r="A28" s="18" t="s">
        <v>365</v>
      </c>
      <c r="B28" s="18" t="s">
        <v>40</v>
      </c>
      <c r="C28" s="18" t="s">
        <v>45</v>
      </c>
      <c r="D28" s="18" t="s">
        <v>35</v>
      </c>
      <c r="E28" s="18" t="s">
        <v>19</v>
      </c>
      <c r="F28" s="19" t="s">
        <v>366</v>
      </c>
      <c r="G28" s="19"/>
      <c r="H28" s="19" t="s">
        <v>367</v>
      </c>
      <c r="I28" s="19" t="s">
        <v>368</v>
      </c>
      <c r="J28" s="19" t="s">
        <v>369</v>
      </c>
      <c r="K28" s="19" t="s">
        <v>370</v>
      </c>
      <c r="L28" s="19" t="s">
        <v>371</v>
      </c>
      <c r="M28" s="19"/>
      <c r="N28" s="19"/>
      <c r="O28" s="19" t="s">
        <v>142</v>
      </c>
      <c r="P28" s="19" t="s">
        <v>143</v>
      </c>
      <c r="Q28" s="19"/>
      <c r="R28" s="19"/>
      <c r="S28" s="19"/>
      <c r="T28" s="19"/>
    </row>
    <row r="29" customFormat="false" ht="95.5" hidden="false" customHeight="false" outlineLevel="0" collapsed="false">
      <c r="A29" s="18" t="s">
        <v>372</v>
      </c>
      <c r="B29" s="18" t="s">
        <v>47</v>
      </c>
      <c r="C29" s="18" t="s">
        <v>48</v>
      </c>
      <c r="D29" s="18" t="s">
        <v>33</v>
      </c>
      <c r="E29" s="18" t="s">
        <v>17</v>
      </c>
      <c r="F29" s="19" t="s">
        <v>373</v>
      </c>
      <c r="G29" s="20" t="s">
        <v>374</v>
      </c>
      <c r="H29" s="19" t="s">
        <v>375</v>
      </c>
      <c r="I29" s="19" t="s">
        <v>376</v>
      </c>
      <c r="J29" s="19" t="s">
        <v>377</v>
      </c>
      <c r="K29" s="19" t="s">
        <v>378</v>
      </c>
      <c r="L29" s="19" t="s">
        <v>379</v>
      </c>
      <c r="M29" s="19"/>
      <c r="N29" s="19"/>
      <c r="O29" s="19" t="s">
        <v>142</v>
      </c>
      <c r="P29" s="19" t="s">
        <v>143</v>
      </c>
      <c r="Q29" s="19"/>
      <c r="R29" s="19"/>
      <c r="S29" s="19"/>
      <c r="T29" s="19"/>
    </row>
    <row r="30" customFormat="false" ht="35.05" hidden="false" customHeight="false" outlineLevel="0" collapsed="false">
      <c r="A30" s="18" t="s">
        <v>380</v>
      </c>
      <c r="B30" s="18" t="s">
        <v>47</v>
      </c>
      <c r="C30" s="18" t="s">
        <v>48</v>
      </c>
      <c r="D30" s="18" t="s">
        <v>33</v>
      </c>
      <c r="E30" s="18" t="s">
        <v>17</v>
      </c>
      <c r="F30" s="19" t="s">
        <v>381</v>
      </c>
      <c r="G30" s="19"/>
      <c r="H30" s="19" t="s">
        <v>382</v>
      </c>
      <c r="I30" s="19" t="s">
        <v>383</v>
      </c>
      <c r="J30" s="19" t="s">
        <v>384</v>
      </c>
      <c r="K30" s="19" t="s">
        <v>385</v>
      </c>
      <c r="L30" s="19" t="s">
        <v>386</v>
      </c>
      <c r="M30" s="19"/>
      <c r="N30" s="19"/>
      <c r="O30" s="19" t="s">
        <v>142</v>
      </c>
      <c r="P30" s="19" t="s">
        <v>143</v>
      </c>
      <c r="Q30" s="19"/>
      <c r="R30" s="19"/>
      <c r="S30" s="19"/>
      <c r="T30" s="19"/>
    </row>
    <row r="31" customFormat="false" ht="35.05" hidden="false" customHeight="false" outlineLevel="0" collapsed="false">
      <c r="A31" s="18" t="s">
        <v>387</v>
      </c>
      <c r="B31" s="18" t="s">
        <v>47</v>
      </c>
      <c r="C31" s="18" t="s">
        <v>48</v>
      </c>
      <c r="D31" s="18" t="s">
        <v>33</v>
      </c>
      <c r="E31" s="18" t="s">
        <v>19</v>
      </c>
      <c r="F31" s="19" t="s">
        <v>388</v>
      </c>
      <c r="G31" s="19"/>
      <c r="H31" s="19" t="s">
        <v>389</v>
      </c>
      <c r="I31" s="19" t="s">
        <v>390</v>
      </c>
      <c r="J31" s="19" t="s">
        <v>391</v>
      </c>
      <c r="K31" s="19" t="s">
        <v>392</v>
      </c>
      <c r="L31" s="19" t="s">
        <v>393</v>
      </c>
      <c r="M31" s="19"/>
      <c r="N31" s="19"/>
      <c r="O31" s="19" t="s">
        <v>142</v>
      </c>
      <c r="P31" s="19" t="s">
        <v>143</v>
      </c>
      <c r="Q31" s="19"/>
      <c r="R31" s="19"/>
      <c r="S31" s="19"/>
      <c r="T31" s="19"/>
    </row>
    <row r="32" customFormat="false" ht="53.7" hidden="false" customHeight="false" outlineLevel="0" collapsed="false">
      <c r="A32" s="18" t="s">
        <v>394</v>
      </c>
      <c r="B32" s="18" t="s">
        <v>47</v>
      </c>
      <c r="C32" s="18" t="s">
        <v>48</v>
      </c>
      <c r="D32" s="18" t="s">
        <v>33</v>
      </c>
      <c r="E32" s="18" t="s">
        <v>17</v>
      </c>
      <c r="F32" s="19" t="s">
        <v>395</v>
      </c>
      <c r="G32" s="20" t="s">
        <v>396</v>
      </c>
      <c r="H32" s="19" t="s">
        <v>397</v>
      </c>
      <c r="I32" s="19" t="s">
        <v>398</v>
      </c>
      <c r="J32" s="19" t="s">
        <v>399</v>
      </c>
      <c r="K32" s="19" t="s">
        <v>400</v>
      </c>
      <c r="L32" s="19" t="s">
        <v>401</v>
      </c>
      <c r="M32" s="19"/>
      <c r="N32" s="19"/>
      <c r="O32" s="19" t="s">
        <v>142</v>
      </c>
      <c r="P32" s="19" t="s">
        <v>143</v>
      </c>
      <c r="Q32" s="19"/>
      <c r="R32" s="19"/>
      <c r="S32" s="19"/>
      <c r="T32" s="19"/>
    </row>
    <row r="33" customFormat="false" ht="35.05" hidden="false" customHeight="false" outlineLevel="0" collapsed="false">
      <c r="A33" s="18" t="s">
        <v>402</v>
      </c>
      <c r="B33" s="18" t="s">
        <v>47</v>
      </c>
      <c r="C33" s="18" t="s">
        <v>48</v>
      </c>
      <c r="D33" s="18" t="s">
        <v>34</v>
      </c>
      <c r="E33" s="18" t="s">
        <v>17</v>
      </c>
      <c r="F33" s="19" t="s">
        <v>403</v>
      </c>
      <c r="G33" s="20" t="s">
        <v>404</v>
      </c>
      <c r="H33" s="19" t="s">
        <v>405</v>
      </c>
      <c r="I33" s="19" t="s">
        <v>406</v>
      </c>
      <c r="J33" s="19" t="s">
        <v>407</v>
      </c>
      <c r="K33" s="19" t="s">
        <v>408</v>
      </c>
      <c r="L33" s="19" t="s">
        <v>409</v>
      </c>
      <c r="M33" s="19"/>
      <c r="N33" s="19"/>
      <c r="O33" s="19" t="s">
        <v>142</v>
      </c>
      <c r="P33" s="19" t="s">
        <v>143</v>
      </c>
      <c r="Q33" s="19"/>
      <c r="R33" s="19"/>
      <c r="S33" s="19"/>
      <c r="T33" s="19"/>
    </row>
    <row r="34" customFormat="false" ht="95.5" hidden="false" customHeight="false" outlineLevel="0" collapsed="false">
      <c r="A34" s="18" t="s">
        <v>410</v>
      </c>
      <c r="B34" s="18" t="s">
        <v>47</v>
      </c>
      <c r="C34" s="18" t="s">
        <v>48</v>
      </c>
      <c r="D34" s="18" t="s">
        <v>34</v>
      </c>
      <c r="E34" s="18" t="s">
        <v>17</v>
      </c>
      <c r="F34" s="19" t="s">
        <v>411</v>
      </c>
      <c r="G34" s="20" t="s">
        <v>412</v>
      </c>
      <c r="H34" s="19" t="s">
        <v>413</v>
      </c>
      <c r="I34" s="19" t="s">
        <v>414</v>
      </c>
      <c r="J34" s="19" t="s">
        <v>415</v>
      </c>
      <c r="K34" s="19" t="s">
        <v>416</v>
      </c>
      <c r="L34" s="19" t="s">
        <v>417</v>
      </c>
      <c r="M34" s="19"/>
      <c r="N34" s="19"/>
      <c r="O34" s="19" t="s">
        <v>142</v>
      </c>
      <c r="P34" s="19" t="s">
        <v>143</v>
      </c>
      <c r="Q34" s="19"/>
      <c r="R34" s="19"/>
      <c r="S34" s="19"/>
      <c r="T34" s="19"/>
    </row>
    <row r="35" customFormat="false" ht="32.8" hidden="false" customHeight="false" outlineLevel="0" collapsed="false">
      <c r="A35" s="18" t="s">
        <v>418</v>
      </c>
      <c r="B35" s="18" t="s">
        <v>47</v>
      </c>
      <c r="C35" s="18" t="s">
        <v>48</v>
      </c>
      <c r="D35" s="18" t="s">
        <v>34</v>
      </c>
      <c r="E35" s="18" t="s">
        <v>17</v>
      </c>
      <c r="F35" s="19" t="s">
        <v>419</v>
      </c>
      <c r="G35" s="20" t="s">
        <v>420</v>
      </c>
      <c r="H35" s="19" t="s">
        <v>421</v>
      </c>
      <c r="I35" s="19" t="s">
        <v>422</v>
      </c>
      <c r="J35" s="19" t="s">
        <v>423</v>
      </c>
      <c r="K35" s="19" t="s">
        <v>424</v>
      </c>
      <c r="L35" s="19" t="s">
        <v>425</v>
      </c>
      <c r="M35" s="19"/>
      <c r="N35" s="19"/>
      <c r="O35" s="19" t="s">
        <v>142</v>
      </c>
      <c r="P35" s="19" t="s">
        <v>143</v>
      </c>
      <c r="Q35" s="19"/>
      <c r="R35" s="19"/>
      <c r="S35" s="19"/>
      <c r="T35" s="19"/>
    </row>
    <row r="36" customFormat="false" ht="64.15" hidden="false" customHeight="false" outlineLevel="0" collapsed="false">
      <c r="A36" s="18" t="s">
        <v>426</v>
      </c>
      <c r="B36" s="18" t="s">
        <v>47</v>
      </c>
      <c r="C36" s="18" t="s">
        <v>48</v>
      </c>
      <c r="D36" s="18" t="s">
        <v>34</v>
      </c>
      <c r="E36" s="18" t="s">
        <v>17</v>
      </c>
      <c r="F36" s="19" t="s">
        <v>427</v>
      </c>
      <c r="G36" s="20" t="s">
        <v>428</v>
      </c>
      <c r="H36" s="19" t="s">
        <v>429</v>
      </c>
      <c r="I36" s="19" t="s">
        <v>430</v>
      </c>
      <c r="J36" s="19" t="s">
        <v>431</v>
      </c>
      <c r="K36" s="19" t="s">
        <v>432</v>
      </c>
      <c r="L36" s="19" t="s">
        <v>433</v>
      </c>
      <c r="M36" s="19"/>
      <c r="N36" s="19"/>
      <c r="O36" s="19" t="s">
        <v>142</v>
      </c>
      <c r="P36" s="19" t="s">
        <v>143</v>
      </c>
      <c r="Q36" s="19"/>
      <c r="R36" s="19"/>
      <c r="S36" s="19"/>
      <c r="T36" s="19"/>
    </row>
    <row r="37" customFormat="false" ht="35.05" hidden="false" customHeight="false" outlineLevel="0" collapsed="false">
      <c r="A37" s="18" t="s">
        <v>434</v>
      </c>
      <c r="B37" s="18" t="s">
        <v>47</v>
      </c>
      <c r="C37" s="18" t="s">
        <v>48</v>
      </c>
      <c r="D37" s="18" t="s">
        <v>35</v>
      </c>
      <c r="E37" s="18" t="s">
        <v>17</v>
      </c>
      <c r="F37" s="19" t="s">
        <v>435</v>
      </c>
      <c r="G37" s="19"/>
      <c r="H37" s="19" t="s">
        <v>436</v>
      </c>
      <c r="I37" s="19" t="s">
        <v>437</v>
      </c>
      <c r="J37" s="19" t="s">
        <v>438</v>
      </c>
      <c r="K37" s="19" t="s">
        <v>439</v>
      </c>
      <c r="L37" s="19" t="s">
        <v>440</v>
      </c>
      <c r="M37" s="19"/>
      <c r="N37" s="19"/>
      <c r="O37" s="19" t="s">
        <v>142</v>
      </c>
      <c r="P37" s="19" t="s">
        <v>143</v>
      </c>
      <c r="Q37" s="19"/>
      <c r="R37" s="19"/>
      <c r="S37" s="19"/>
      <c r="T37" s="19"/>
    </row>
    <row r="38" customFormat="false" ht="23.85" hidden="false" customHeight="false" outlineLevel="0" collapsed="false">
      <c r="A38" s="18" t="s">
        <v>441</v>
      </c>
      <c r="B38" s="18" t="s">
        <v>47</v>
      </c>
      <c r="C38" s="18" t="s">
        <v>48</v>
      </c>
      <c r="D38" s="18" t="s">
        <v>35</v>
      </c>
      <c r="E38" s="18" t="s">
        <v>17</v>
      </c>
      <c r="F38" s="19" t="s">
        <v>442</v>
      </c>
      <c r="G38" s="19"/>
      <c r="H38" s="19" t="s">
        <v>443</v>
      </c>
      <c r="I38" s="19" t="s">
        <v>444</v>
      </c>
      <c r="J38" s="19" t="s">
        <v>445</v>
      </c>
      <c r="K38" s="19" t="s">
        <v>446</v>
      </c>
      <c r="L38" s="19" t="s">
        <v>447</v>
      </c>
      <c r="M38" s="19"/>
      <c r="N38" s="19"/>
      <c r="O38" s="19" t="s">
        <v>142</v>
      </c>
      <c r="P38" s="19" t="s">
        <v>143</v>
      </c>
      <c r="Q38" s="19"/>
      <c r="R38" s="19"/>
      <c r="S38" s="19"/>
      <c r="T38" s="19"/>
    </row>
    <row r="39" customFormat="false" ht="64.15" hidden="false" customHeight="false" outlineLevel="0" collapsed="false">
      <c r="A39" s="18" t="s">
        <v>448</v>
      </c>
      <c r="B39" s="18" t="s">
        <v>47</v>
      </c>
      <c r="C39" s="18" t="s">
        <v>48</v>
      </c>
      <c r="D39" s="18" t="s">
        <v>35</v>
      </c>
      <c r="E39" s="18" t="s">
        <v>17</v>
      </c>
      <c r="F39" s="19" t="s">
        <v>449</v>
      </c>
      <c r="G39" s="20" t="s">
        <v>450</v>
      </c>
      <c r="H39" s="19" t="s">
        <v>451</v>
      </c>
      <c r="I39" s="19" t="s">
        <v>452</v>
      </c>
      <c r="J39" s="19" t="s">
        <v>453</v>
      </c>
      <c r="K39" s="19" t="s">
        <v>454</v>
      </c>
      <c r="L39" s="19" t="s">
        <v>455</v>
      </c>
      <c r="M39" s="19"/>
      <c r="N39" s="19"/>
      <c r="O39" s="19" t="s">
        <v>142</v>
      </c>
      <c r="P39" s="19" t="s">
        <v>143</v>
      </c>
      <c r="Q39" s="19"/>
      <c r="R39" s="19"/>
      <c r="S39" s="19"/>
      <c r="T39" s="19"/>
    </row>
    <row r="40" customFormat="false" ht="35.05" hidden="false" customHeight="false" outlineLevel="0" collapsed="false">
      <c r="A40" s="18" t="s">
        <v>456</v>
      </c>
      <c r="B40" s="18" t="s">
        <v>47</v>
      </c>
      <c r="C40" s="18" t="s">
        <v>48</v>
      </c>
      <c r="D40" s="18" t="s">
        <v>35</v>
      </c>
      <c r="E40" s="18" t="s">
        <v>17</v>
      </c>
      <c r="F40" s="19" t="s">
        <v>457</v>
      </c>
      <c r="G40" s="19"/>
      <c r="H40" s="19" t="s">
        <v>458</v>
      </c>
      <c r="I40" s="19" t="s">
        <v>459</v>
      </c>
      <c r="J40" s="19" t="s">
        <v>460</v>
      </c>
      <c r="K40" s="19" t="s">
        <v>461</v>
      </c>
      <c r="L40" s="19" t="s">
        <v>462</v>
      </c>
      <c r="M40" s="19"/>
      <c r="N40" s="19"/>
      <c r="O40" s="19" t="s">
        <v>142</v>
      </c>
      <c r="P40" s="19" t="s">
        <v>143</v>
      </c>
      <c r="Q40" s="19"/>
      <c r="R40" s="19"/>
      <c r="S40" s="19"/>
      <c r="T40" s="19"/>
    </row>
    <row r="41" customFormat="false" ht="23.85" hidden="false" customHeight="false" outlineLevel="0" collapsed="false">
      <c r="A41" s="18" t="s">
        <v>463</v>
      </c>
      <c r="B41" s="18" t="s">
        <v>47</v>
      </c>
      <c r="C41" s="18" t="s">
        <v>50</v>
      </c>
      <c r="D41" s="18" t="s">
        <v>33</v>
      </c>
      <c r="E41" s="18" t="s">
        <v>17</v>
      </c>
      <c r="F41" s="19" t="s">
        <v>464</v>
      </c>
      <c r="G41" s="19"/>
      <c r="H41" s="19" t="s">
        <v>378</v>
      </c>
      <c r="I41" s="19" t="s">
        <v>465</v>
      </c>
      <c r="J41" s="19" t="s">
        <v>466</v>
      </c>
      <c r="K41" s="19" t="s">
        <v>467</v>
      </c>
      <c r="L41" s="19" t="s">
        <v>468</v>
      </c>
      <c r="M41" s="19"/>
      <c r="N41" s="19"/>
      <c r="O41" s="19" t="s">
        <v>142</v>
      </c>
      <c r="P41" s="19" t="s">
        <v>143</v>
      </c>
      <c r="Q41" s="19"/>
      <c r="R41" s="19"/>
      <c r="S41" s="19"/>
      <c r="T41" s="19"/>
    </row>
    <row r="42" customFormat="false" ht="23.85" hidden="false" customHeight="false" outlineLevel="0" collapsed="false">
      <c r="A42" s="18" t="s">
        <v>469</v>
      </c>
      <c r="B42" s="18" t="s">
        <v>47</v>
      </c>
      <c r="C42" s="18" t="s">
        <v>50</v>
      </c>
      <c r="D42" s="18" t="s">
        <v>33</v>
      </c>
      <c r="E42" s="18" t="s">
        <v>19</v>
      </c>
      <c r="F42" s="19" t="s">
        <v>470</v>
      </c>
      <c r="G42" s="19"/>
      <c r="H42" s="19" t="s">
        <v>471</v>
      </c>
      <c r="I42" s="19" t="s">
        <v>472</v>
      </c>
      <c r="J42" s="19" t="s">
        <v>473</v>
      </c>
      <c r="K42" s="19" t="s">
        <v>474</v>
      </c>
      <c r="L42" s="19" t="s">
        <v>475</v>
      </c>
      <c r="M42" s="19"/>
      <c r="N42" s="19"/>
      <c r="O42" s="19" t="s">
        <v>142</v>
      </c>
      <c r="P42" s="19" t="s">
        <v>143</v>
      </c>
      <c r="Q42" s="19"/>
      <c r="R42" s="19"/>
      <c r="S42" s="19"/>
      <c r="T42" s="19"/>
    </row>
    <row r="43" customFormat="false" ht="64.15" hidden="false" customHeight="false" outlineLevel="0" collapsed="false">
      <c r="A43" s="18" t="s">
        <v>476</v>
      </c>
      <c r="B43" s="18" t="s">
        <v>47</v>
      </c>
      <c r="C43" s="18" t="s">
        <v>50</v>
      </c>
      <c r="D43" s="18" t="s">
        <v>33</v>
      </c>
      <c r="E43" s="18" t="s">
        <v>17</v>
      </c>
      <c r="F43" s="19" t="s">
        <v>477</v>
      </c>
      <c r="G43" s="20" t="s">
        <v>478</v>
      </c>
      <c r="H43" s="19" t="s">
        <v>479</v>
      </c>
      <c r="I43" s="19" t="s">
        <v>480</v>
      </c>
      <c r="J43" s="19" t="s">
        <v>481</v>
      </c>
      <c r="K43" s="19" t="s">
        <v>482</v>
      </c>
      <c r="L43" s="19" t="s">
        <v>483</v>
      </c>
      <c r="M43" s="19"/>
      <c r="N43" s="19"/>
      <c r="O43" s="19" t="s">
        <v>142</v>
      </c>
      <c r="P43" s="19" t="s">
        <v>143</v>
      </c>
      <c r="Q43" s="19"/>
      <c r="R43" s="19"/>
      <c r="S43" s="19"/>
      <c r="T43" s="19"/>
    </row>
    <row r="44" customFormat="false" ht="23.85" hidden="false" customHeight="false" outlineLevel="0" collapsed="false">
      <c r="A44" s="18" t="s">
        <v>484</v>
      </c>
      <c r="B44" s="18" t="s">
        <v>47</v>
      </c>
      <c r="C44" s="18" t="s">
        <v>50</v>
      </c>
      <c r="D44" s="18" t="s">
        <v>33</v>
      </c>
      <c r="E44" s="18" t="s">
        <v>17</v>
      </c>
      <c r="F44" s="19" t="s">
        <v>485</v>
      </c>
      <c r="G44" s="19"/>
      <c r="H44" s="19" t="s">
        <v>486</v>
      </c>
      <c r="I44" s="19" t="s">
        <v>487</v>
      </c>
      <c r="J44" s="19" t="s">
        <v>488</v>
      </c>
      <c r="K44" s="19" t="s">
        <v>489</v>
      </c>
      <c r="L44" s="19" t="s">
        <v>490</v>
      </c>
      <c r="M44" s="19"/>
      <c r="N44" s="19"/>
      <c r="O44" s="19" t="s">
        <v>142</v>
      </c>
      <c r="P44" s="19" t="s">
        <v>143</v>
      </c>
      <c r="Q44" s="19"/>
      <c r="R44" s="19"/>
      <c r="S44" s="19"/>
      <c r="T44" s="19"/>
    </row>
    <row r="45" customFormat="false" ht="53.7" hidden="false" customHeight="false" outlineLevel="0" collapsed="false">
      <c r="A45" s="18" t="s">
        <v>491</v>
      </c>
      <c r="B45" s="18" t="s">
        <v>47</v>
      </c>
      <c r="C45" s="18" t="s">
        <v>50</v>
      </c>
      <c r="D45" s="18" t="s">
        <v>34</v>
      </c>
      <c r="E45" s="18" t="s">
        <v>17</v>
      </c>
      <c r="F45" s="19" t="s">
        <v>492</v>
      </c>
      <c r="G45" s="20" t="s">
        <v>493</v>
      </c>
      <c r="H45" s="19" t="s">
        <v>494</v>
      </c>
      <c r="I45" s="19" t="s">
        <v>495</v>
      </c>
      <c r="J45" s="19" t="s">
        <v>496</v>
      </c>
      <c r="K45" s="19" t="s">
        <v>497</v>
      </c>
      <c r="L45" s="19" t="s">
        <v>498</v>
      </c>
      <c r="M45" s="19"/>
      <c r="N45" s="19"/>
      <c r="O45" s="19" t="s">
        <v>142</v>
      </c>
      <c r="P45" s="19" t="s">
        <v>143</v>
      </c>
      <c r="Q45" s="19"/>
      <c r="R45" s="19"/>
      <c r="S45" s="19"/>
      <c r="T45" s="19"/>
    </row>
    <row r="46" customFormat="false" ht="35.05" hidden="false" customHeight="false" outlineLevel="0" collapsed="false">
      <c r="A46" s="18" t="s">
        <v>499</v>
      </c>
      <c r="B46" s="18" t="s">
        <v>47</v>
      </c>
      <c r="C46" s="18" t="s">
        <v>50</v>
      </c>
      <c r="D46" s="18" t="s">
        <v>34</v>
      </c>
      <c r="E46" s="18" t="s">
        <v>17</v>
      </c>
      <c r="F46" s="19" t="s">
        <v>500</v>
      </c>
      <c r="G46" s="19"/>
      <c r="H46" s="19" t="s">
        <v>501</v>
      </c>
      <c r="I46" s="19" t="s">
        <v>502</v>
      </c>
      <c r="J46" s="19" t="s">
        <v>503</v>
      </c>
      <c r="K46" s="19" t="s">
        <v>504</v>
      </c>
      <c r="L46" s="19" t="s">
        <v>505</v>
      </c>
      <c r="M46" s="19"/>
      <c r="N46" s="19"/>
      <c r="O46" s="19" t="s">
        <v>142</v>
      </c>
      <c r="P46" s="19" t="s">
        <v>143</v>
      </c>
      <c r="Q46" s="19"/>
      <c r="R46" s="19"/>
      <c r="S46" s="19"/>
      <c r="T46" s="19"/>
    </row>
    <row r="47" customFormat="false" ht="23.85" hidden="false" customHeight="false" outlineLevel="0" collapsed="false">
      <c r="A47" s="18" t="s">
        <v>506</v>
      </c>
      <c r="B47" s="18" t="s">
        <v>47</v>
      </c>
      <c r="C47" s="18" t="s">
        <v>50</v>
      </c>
      <c r="D47" s="18" t="s">
        <v>34</v>
      </c>
      <c r="E47" s="18" t="s">
        <v>19</v>
      </c>
      <c r="F47" s="19" t="s">
        <v>507</v>
      </c>
      <c r="G47" s="19"/>
      <c r="H47" s="19" t="s">
        <v>508</v>
      </c>
      <c r="I47" s="19" t="s">
        <v>509</v>
      </c>
      <c r="J47" s="19" t="s">
        <v>510</v>
      </c>
      <c r="K47" s="19" t="s">
        <v>511</v>
      </c>
      <c r="L47" s="19" t="s">
        <v>512</v>
      </c>
      <c r="M47" s="19"/>
      <c r="N47" s="19"/>
      <c r="O47" s="19" t="s">
        <v>142</v>
      </c>
      <c r="P47" s="19" t="s">
        <v>143</v>
      </c>
      <c r="Q47" s="19"/>
      <c r="R47" s="19"/>
      <c r="S47" s="19"/>
      <c r="T47" s="19"/>
    </row>
    <row r="48" customFormat="false" ht="23.85" hidden="false" customHeight="false" outlineLevel="0" collapsed="false">
      <c r="A48" s="18" t="s">
        <v>513</v>
      </c>
      <c r="B48" s="18" t="s">
        <v>47</v>
      </c>
      <c r="C48" s="18" t="s">
        <v>50</v>
      </c>
      <c r="D48" s="18" t="s">
        <v>34</v>
      </c>
      <c r="E48" s="18" t="s">
        <v>17</v>
      </c>
      <c r="F48" s="19" t="s">
        <v>514</v>
      </c>
      <c r="G48" s="19"/>
      <c r="H48" s="19" t="s">
        <v>515</v>
      </c>
      <c r="I48" s="19" t="s">
        <v>516</v>
      </c>
      <c r="J48" s="19" t="s">
        <v>517</v>
      </c>
      <c r="K48" s="19" t="s">
        <v>518</v>
      </c>
      <c r="L48" s="19" t="s">
        <v>519</v>
      </c>
      <c r="M48" s="19"/>
      <c r="N48" s="19"/>
      <c r="O48" s="19" t="s">
        <v>142</v>
      </c>
      <c r="P48" s="19" t="s">
        <v>143</v>
      </c>
      <c r="Q48" s="19"/>
      <c r="R48" s="19"/>
      <c r="S48" s="19"/>
      <c r="T48" s="19"/>
    </row>
    <row r="49" customFormat="false" ht="85.05" hidden="false" customHeight="false" outlineLevel="0" collapsed="false">
      <c r="A49" s="18" t="s">
        <v>520</v>
      </c>
      <c r="B49" s="18" t="s">
        <v>47</v>
      </c>
      <c r="C49" s="18" t="s">
        <v>50</v>
      </c>
      <c r="D49" s="18" t="s">
        <v>35</v>
      </c>
      <c r="E49" s="18" t="s">
        <v>17</v>
      </c>
      <c r="F49" s="19" t="s">
        <v>521</v>
      </c>
      <c r="G49" s="20" t="s">
        <v>522</v>
      </c>
      <c r="H49" s="19" t="s">
        <v>523</v>
      </c>
      <c r="I49" s="19" t="s">
        <v>524</v>
      </c>
      <c r="J49" s="19" t="s">
        <v>525</v>
      </c>
      <c r="K49" s="19" t="s">
        <v>526</v>
      </c>
      <c r="L49" s="19" t="s">
        <v>527</v>
      </c>
      <c r="M49" s="19"/>
      <c r="N49" s="19"/>
      <c r="O49" s="19" t="s">
        <v>142</v>
      </c>
      <c r="P49" s="19" t="s">
        <v>143</v>
      </c>
      <c r="Q49" s="19"/>
      <c r="R49" s="19"/>
      <c r="S49" s="19"/>
      <c r="T49" s="19"/>
    </row>
    <row r="50" customFormat="false" ht="43.25" hidden="false" customHeight="false" outlineLevel="0" collapsed="false">
      <c r="A50" s="18" t="s">
        <v>528</v>
      </c>
      <c r="B50" s="18" t="s">
        <v>47</v>
      </c>
      <c r="C50" s="18" t="s">
        <v>50</v>
      </c>
      <c r="D50" s="18" t="s">
        <v>35</v>
      </c>
      <c r="E50" s="18" t="s">
        <v>17</v>
      </c>
      <c r="F50" s="19" t="s">
        <v>529</v>
      </c>
      <c r="G50" s="20" t="s">
        <v>530</v>
      </c>
      <c r="H50" s="19" t="s">
        <v>531</v>
      </c>
      <c r="I50" s="19" t="s">
        <v>532</v>
      </c>
      <c r="J50" s="19" t="s">
        <v>533</v>
      </c>
      <c r="K50" s="19" t="s">
        <v>534</v>
      </c>
      <c r="L50" s="19" t="s">
        <v>535</v>
      </c>
      <c r="M50" s="19"/>
      <c r="N50" s="19"/>
      <c r="O50" s="19" t="s">
        <v>142</v>
      </c>
      <c r="P50" s="19" t="s">
        <v>143</v>
      </c>
      <c r="Q50" s="19"/>
      <c r="R50" s="19"/>
      <c r="S50" s="19"/>
      <c r="T50" s="19"/>
    </row>
    <row r="51" customFormat="false" ht="23.85" hidden="false" customHeight="false" outlineLevel="0" collapsed="false">
      <c r="A51" s="18" t="s">
        <v>536</v>
      </c>
      <c r="B51" s="18" t="s">
        <v>47</v>
      </c>
      <c r="C51" s="18" t="s">
        <v>50</v>
      </c>
      <c r="D51" s="18" t="s">
        <v>35</v>
      </c>
      <c r="E51" s="18" t="s">
        <v>19</v>
      </c>
      <c r="F51" s="19" t="s">
        <v>537</v>
      </c>
      <c r="G51" s="19"/>
      <c r="H51" s="19" t="s">
        <v>538</v>
      </c>
      <c r="I51" s="19" t="s">
        <v>539</v>
      </c>
      <c r="J51" s="19" t="s">
        <v>540</v>
      </c>
      <c r="K51" s="19" t="s">
        <v>541</v>
      </c>
      <c r="L51" s="19" t="s">
        <v>542</v>
      </c>
      <c r="M51" s="19"/>
      <c r="N51" s="19"/>
      <c r="O51" s="19" t="s">
        <v>142</v>
      </c>
      <c r="P51" s="19" t="s">
        <v>143</v>
      </c>
      <c r="Q51" s="19"/>
      <c r="R51" s="19"/>
      <c r="S51" s="19"/>
      <c r="T51" s="19"/>
    </row>
    <row r="52" customFormat="false" ht="35.05" hidden="false" customHeight="false" outlineLevel="0" collapsed="false">
      <c r="A52" s="18" t="s">
        <v>543</v>
      </c>
      <c r="B52" s="18" t="s">
        <v>47</v>
      </c>
      <c r="C52" s="18" t="s">
        <v>50</v>
      </c>
      <c r="D52" s="18" t="s">
        <v>35</v>
      </c>
      <c r="E52" s="18" t="s">
        <v>17</v>
      </c>
      <c r="F52" s="19" t="s">
        <v>544</v>
      </c>
      <c r="G52" s="19"/>
      <c r="H52" s="19" t="s">
        <v>545</v>
      </c>
      <c r="I52" s="19" t="s">
        <v>546</v>
      </c>
      <c r="J52" s="19" t="s">
        <v>547</v>
      </c>
      <c r="K52" s="19" t="s">
        <v>548</v>
      </c>
      <c r="L52" s="19" t="s">
        <v>549</v>
      </c>
      <c r="M52" s="19"/>
      <c r="N52" s="19"/>
      <c r="O52" s="19" t="s">
        <v>142</v>
      </c>
      <c r="P52" s="19" t="s">
        <v>143</v>
      </c>
      <c r="Q52" s="19"/>
      <c r="R52" s="19"/>
      <c r="S52" s="19"/>
      <c r="T52" s="19"/>
    </row>
    <row r="53" customFormat="false" ht="35.05" hidden="false" customHeight="false" outlineLevel="0" collapsed="false">
      <c r="A53" s="18" t="s">
        <v>550</v>
      </c>
      <c r="B53" s="18" t="s">
        <v>47</v>
      </c>
      <c r="C53" s="18" t="s">
        <v>52</v>
      </c>
      <c r="D53" s="18" t="s">
        <v>33</v>
      </c>
      <c r="E53" s="18" t="s">
        <v>17</v>
      </c>
      <c r="F53" s="19" t="s">
        <v>551</v>
      </c>
      <c r="G53" s="19"/>
      <c r="H53" s="19" t="s">
        <v>552</v>
      </c>
      <c r="I53" s="19" t="s">
        <v>553</v>
      </c>
      <c r="J53" s="19" t="s">
        <v>554</v>
      </c>
      <c r="K53" s="19" t="s">
        <v>555</v>
      </c>
      <c r="L53" s="19" t="s">
        <v>556</v>
      </c>
      <c r="M53" s="19"/>
      <c r="N53" s="19"/>
      <c r="O53" s="19" t="s">
        <v>142</v>
      </c>
      <c r="P53" s="19" t="s">
        <v>143</v>
      </c>
      <c r="Q53" s="19"/>
      <c r="R53" s="19"/>
      <c r="S53" s="19"/>
      <c r="T53" s="19"/>
    </row>
    <row r="54" customFormat="false" ht="43.25" hidden="false" customHeight="false" outlineLevel="0" collapsed="false">
      <c r="A54" s="18" t="s">
        <v>557</v>
      </c>
      <c r="B54" s="18" t="s">
        <v>47</v>
      </c>
      <c r="C54" s="18" t="s">
        <v>52</v>
      </c>
      <c r="D54" s="18" t="s">
        <v>33</v>
      </c>
      <c r="E54" s="18" t="s">
        <v>17</v>
      </c>
      <c r="F54" s="19" t="s">
        <v>477</v>
      </c>
      <c r="G54" s="20" t="s">
        <v>558</v>
      </c>
      <c r="H54" s="19" t="s">
        <v>559</v>
      </c>
      <c r="I54" s="19" t="s">
        <v>560</v>
      </c>
      <c r="J54" s="19" t="s">
        <v>561</v>
      </c>
      <c r="K54" s="19" t="s">
        <v>562</v>
      </c>
      <c r="L54" s="19" t="s">
        <v>563</v>
      </c>
      <c r="M54" s="19"/>
      <c r="N54" s="19"/>
      <c r="O54" s="19" t="s">
        <v>142</v>
      </c>
      <c r="P54" s="19" t="s">
        <v>143</v>
      </c>
      <c r="Q54" s="19"/>
      <c r="R54" s="19"/>
      <c r="S54" s="19"/>
      <c r="T54" s="19"/>
    </row>
    <row r="55" customFormat="false" ht="23.85" hidden="false" customHeight="false" outlineLevel="0" collapsed="false">
      <c r="A55" s="18" t="s">
        <v>564</v>
      </c>
      <c r="B55" s="18" t="s">
        <v>47</v>
      </c>
      <c r="C55" s="18" t="s">
        <v>52</v>
      </c>
      <c r="D55" s="18" t="s">
        <v>33</v>
      </c>
      <c r="E55" s="18" t="s">
        <v>17</v>
      </c>
      <c r="F55" s="19" t="s">
        <v>565</v>
      </c>
      <c r="G55" s="19"/>
      <c r="H55" s="19" t="s">
        <v>566</v>
      </c>
      <c r="I55" s="19" t="s">
        <v>567</v>
      </c>
      <c r="J55" s="19" t="s">
        <v>568</v>
      </c>
      <c r="K55" s="19" t="s">
        <v>569</v>
      </c>
      <c r="L55" s="19" t="s">
        <v>570</v>
      </c>
      <c r="M55" s="19"/>
      <c r="N55" s="19"/>
      <c r="O55" s="19" t="s">
        <v>142</v>
      </c>
      <c r="P55" s="19" t="s">
        <v>143</v>
      </c>
      <c r="Q55" s="19"/>
      <c r="R55" s="19"/>
      <c r="S55" s="19"/>
      <c r="T55" s="19"/>
    </row>
    <row r="56" customFormat="false" ht="23.85" hidden="false" customHeight="false" outlineLevel="0" collapsed="false">
      <c r="A56" s="18" t="s">
        <v>571</v>
      </c>
      <c r="B56" s="18" t="s">
        <v>47</v>
      </c>
      <c r="C56" s="18" t="s">
        <v>52</v>
      </c>
      <c r="D56" s="18" t="s">
        <v>33</v>
      </c>
      <c r="E56" s="18" t="s">
        <v>19</v>
      </c>
      <c r="F56" s="19" t="s">
        <v>572</v>
      </c>
      <c r="G56" s="19"/>
      <c r="H56" s="19" t="s">
        <v>573</v>
      </c>
      <c r="I56" s="19" t="s">
        <v>574</v>
      </c>
      <c r="J56" s="19" t="s">
        <v>575</v>
      </c>
      <c r="K56" s="19" t="s">
        <v>576</v>
      </c>
      <c r="L56" s="19" t="s">
        <v>577</v>
      </c>
      <c r="M56" s="19"/>
      <c r="N56" s="19"/>
      <c r="O56" s="19" t="s">
        <v>142</v>
      </c>
      <c r="P56" s="19" t="s">
        <v>143</v>
      </c>
      <c r="Q56" s="19"/>
      <c r="R56" s="19"/>
      <c r="S56" s="19"/>
      <c r="T56" s="19"/>
    </row>
    <row r="57" customFormat="false" ht="35.05" hidden="false" customHeight="false" outlineLevel="0" collapsed="false">
      <c r="A57" s="18" t="s">
        <v>578</v>
      </c>
      <c r="B57" s="18" t="s">
        <v>47</v>
      </c>
      <c r="C57" s="18" t="s">
        <v>52</v>
      </c>
      <c r="D57" s="18" t="s">
        <v>34</v>
      </c>
      <c r="E57" s="18" t="s">
        <v>17</v>
      </c>
      <c r="F57" s="19" t="s">
        <v>579</v>
      </c>
      <c r="G57" s="19"/>
      <c r="H57" s="19" t="s">
        <v>580</v>
      </c>
      <c r="I57" s="19" t="s">
        <v>581</v>
      </c>
      <c r="J57" s="19" t="s">
        <v>582</v>
      </c>
      <c r="K57" s="19" t="s">
        <v>583</v>
      </c>
      <c r="L57" s="19" t="s">
        <v>584</v>
      </c>
      <c r="M57" s="19"/>
      <c r="N57" s="19"/>
      <c r="O57" s="19" t="s">
        <v>142</v>
      </c>
      <c r="P57" s="19" t="s">
        <v>143</v>
      </c>
      <c r="Q57" s="19"/>
      <c r="R57" s="19"/>
      <c r="S57" s="19"/>
      <c r="T57" s="19"/>
    </row>
    <row r="58" customFormat="false" ht="35.05" hidden="false" customHeight="false" outlineLevel="0" collapsed="false">
      <c r="A58" s="18" t="s">
        <v>585</v>
      </c>
      <c r="B58" s="18" t="s">
        <v>47</v>
      </c>
      <c r="C58" s="18" t="s">
        <v>52</v>
      </c>
      <c r="D58" s="18" t="s">
        <v>34</v>
      </c>
      <c r="E58" s="18" t="s">
        <v>17</v>
      </c>
      <c r="F58" s="19" t="s">
        <v>586</v>
      </c>
      <c r="G58" s="19"/>
      <c r="H58" s="19" t="s">
        <v>583</v>
      </c>
      <c r="I58" s="19" t="s">
        <v>580</v>
      </c>
      <c r="J58" s="19" t="s">
        <v>581</v>
      </c>
      <c r="K58" s="19" t="s">
        <v>582</v>
      </c>
      <c r="L58" s="19" t="s">
        <v>587</v>
      </c>
      <c r="M58" s="19"/>
      <c r="N58" s="19"/>
      <c r="O58" s="19" t="s">
        <v>142</v>
      </c>
      <c r="P58" s="19" t="s">
        <v>143</v>
      </c>
      <c r="Q58" s="19"/>
      <c r="R58" s="19"/>
      <c r="S58" s="19"/>
      <c r="T58" s="19"/>
    </row>
    <row r="59" customFormat="false" ht="43.25" hidden="false" customHeight="false" outlineLevel="0" collapsed="false">
      <c r="A59" s="18" t="s">
        <v>588</v>
      </c>
      <c r="B59" s="18" t="s">
        <v>47</v>
      </c>
      <c r="C59" s="18" t="s">
        <v>52</v>
      </c>
      <c r="D59" s="18" t="s">
        <v>34</v>
      </c>
      <c r="E59" s="18" t="s">
        <v>17</v>
      </c>
      <c r="F59" s="19" t="s">
        <v>589</v>
      </c>
      <c r="G59" s="20" t="s">
        <v>590</v>
      </c>
      <c r="H59" s="19" t="s">
        <v>591</v>
      </c>
      <c r="I59" s="19" t="s">
        <v>592</v>
      </c>
      <c r="J59" s="19" t="s">
        <v>593</v>
      </c>
      <c r="K59" s="19" t="s">
        <v>594</v>
      </c>
      <c r="L59" s="19" t="s">
        <v>595</v>
      </c>
      <c r="M59" s="19"/>
      <c r="N59" s="19"/>
      <c r="O59" s="19" t="s">
        <v>142</v>
      </c>
      <c r="P59" s="19" t="s">
        <v>143</v>
      </c>
      <c r="Q59" s="19"/>
      <c r="R59" s="19"/>
      <c r="S59" s="19"/>
      <c r="T59" s="19"/>
    </row>
    <row r="60" customFormat="false" ht="53.7" hidden="false" customHeight="false" outlineLevel="0" collapsed="false">
      <c r="A60" s="18" t="s">
        <v>596</v>
      </c>
      <c r="B60" s="18" t="s">
        <v>47</v>
      </c>
      <c r="C60" s="18" t="s">
        <v>52</v>
      </c>
      <c r="D60" s="18" t="s">
        <v>34</v>
      </c>
      <c r="E60" s="18" t="s">
        <v>17</v>
      </c>
      <c r="F60" s="19" t="s">
        <v>597</v>
      </c>
      <c r="G60" s="20" t="s">
        <v>598</v>
      </c>
      <c r="H60" s="19" t="s">
        <v>599</v>
      </c>
      <c r="I60" s="19" t="s">
        <v>600</v>
      </c>
      <c r="J60" s="19" t="s">
        <v>601</v>
      </c>
      <c r="K60" s="19" t="s">
        <v>602</v>
      </c>
      <c r="L60" s="19" t="s">
        <v>603</v>
      </c>
      <c r="M60" s="19"/>
      <c r="N60" s="19"/>
      <c r="O60" s="19" t="s">
        <v>142</v>
      </c>
      <c r="P60" s="19" t="s">
        <v>143</v>
      </c>
      <c r="Q60" s="19"/>
      <c r="R60" s="19"/>
      <c r="S60" s="19"/>
      <c r="T60" s="19"/>
    </row>
    <row r="61" customFormat="false" ht="43.25" hidden="false" customHeight="false" outlineLevel="0" collapsed="false">
      <c r="A61" s="18" t="s">
        <v>604</v>
      </c>
      <c r="B61" s="18" t="s">
        <v>47</v>
      </c>
      <c r="C61" s="18" t="s">
        <v>52</v>
      </c>
      <c r="D61" s="18" t="s">
        <v>35</v>
      </c>
      <c r="E61" s="18" t="s">
        <v>17</v>
      </c>
      <c r="F61" s="19" t="s">
        <v>605</v>
      </c>
      <c r="G61" s="20" t="s">
        <v>606</v>
      </c>
      <c r="H61" s="19" t="s">
        <v>607</v>
      </c>
      <c r="I61" s="19" t="s">
        <v>608</v>
      </c>
      <c r="J61" s="19" t="s">
        <v>609</v>
      </c>
      <c r="K61" s="19" t="s">
        <v>610</v>
      </c>
      <c r="L61" s="19" t="s">
        <v>611</v>
      </c>
      <c r="M61" s="19"/>
      <c r="N61" s="19"/>
      <c r="O61" s="19" t="s">
        <v>142</v>
      </c>
      <c r="P61" s="19" t="s">
        <v>143</v>
      </c>
      <c r="Q61" s="19"/>
      <c r="R61" s="19"/>
      <c r="S61" s="19"/>
      <c r="T61" s="19"/>
    </row>
    <row r="62" customFormat="false" ht="35.05" hidden="false" customHeight="false" outlineLevel="0" collapsed="false">
      <c r="A62" s="18" t="s">
        <v>612</v>
      </c>
      <c r="B62" s="18" t="s">
        <v>47</v>
      </c>
      <c r="C62" s="18" t="s">
        <v>52</v>
      </c>
      <c r="D62" s="18" t="s">
        <v>35</v>
      </c>
      <c r="E62" s="18" t="s">
        <v>17</v>
      </c>
      <c r="F62" s="19" t="s">
        <v>613</v>
      </c>
      <c r="G62" s="19"/>
      <c r="H62" s="19" t="s">
        <v>614</v>
      </c>
      <c r="I62" s="19" t="s">
        <v>615</v>
      </c>
      <c r="J62" s="19" t="s">
        <v>616</v>
      </c>
      <c r="K62" s="19" t="s">
        <v>617</v>
      </c>
      <c r="L62" s="19" t="s">
        <v>618</v>
      </c>
      <c r="M62" s="19"/>
      <c r="N62" s="19"/>
      <c r="O62" s="19" t="s">
        <v>142</v>
      </c>
      <c r="P62" s="19" t="s">
        <v>143</v>
      </c>
      <c r="Q62" s="19"/>
      <c r="R62" s="19"/>
      <c r="S62" s="19"/>
      <c r="T62" s="19"/>
    </row>
    <row r="63" customFormat="false" ht="35.05" hidden="false" customHeight="false" outlineLevel="0" collapsed="false">
      <c r="A63" s="18" t="s">
        <v>619</v>
      </c>
      <c r="B63" s="18" t="s">
        <v>47</v>
      </c>
      <c r="C63" s="18" t="s">
        <v>52</v>
      </c>
      <c r="D63" s="18" t="s">
        <v>35</v>
      </c>
      <c r="E63" s="18" t="s">
        <v>17</v>
      </c>
      <c r="F63" s="19" t="s">
        <v>620</v>
      </c>
      <c r="G63" s="19"/>
      <c r="H63" s="19" t="s">
        <v>621</v>
      </c>
      <c r="I63" s="19" t="s">
        <v>622</v>
      </c>
      <c r="J63" s="19" t="s">
        <v>623</v>
      </c>
      <c r="K63" s="19" t="s">
        <v>624</v>
      </c>
      <c r="L63" s="19" t="s">
        <v>625</v>
      </c>
      <c r="M63" s="19"/>
      <c r="N63" s="19"/>
      <c r="O63" s="19" t="s">
        <v>142</v>
      </c>
      <c r="P63" s="19" t="s">
        <v>143</v>
      </c>
      <c r="Q63" s="19"/>
      <c r="R63" s="19"/>
      <c r="S63" s="19"/>
      <c r="T63" s="19"/>
    </row>
    <row r="64" customFormat="false" ht="23.85" hidden="false" customHeight="false" outlineLevel="0" collapsed="false">
      <c r="A64" s="18" t="s">
        <v>626</v>
      </c>
      <c r="B64" s="18" t="s">
        <v>47</v>
      </c>
      <c r="C64" s="18" t="s">
        <v>52</v>
      </c>
      <c r="D64" s="18" t="s">
        <v>35</v>
      </c>
      <c r="E64" s="18" t="s">
        <v>17</v>
      </c>
      <c r="F64" s="19" t="s">
        <v>627</v>
      </c>
      <c r="G64" s="19"/>
      <c r="H64" s="19" t="s">
        <v>628</v>
      </c>
      <c r="I64" s="19" t="s">
        <v>629</v>
      </c>
      <c r="J64" s="19" t="s">
        <v>630</v>
      </c>
      <c r="K64" s="19" t="s">
        <v>631</v>
      </c>
      <c r="L64" s="19" t="s">
        <v>632</v>
      </c>
      <c r="M64" s="19"/>
      <c r="N64" s="19"/>
      <c r="O64" s="19" t="s">
        <v>142</v>
      </c>
      <c r="P64" s="19" t="s">
        <v>143</v>
      </c>
      <c r="Q64" s="19"/>
      <c r="R64" s="19"/>
      <c r="S64" s="19"/>
      <c r="T64" s="19"/>
    </row>
    <row r="65" customFormat="false" ht="23.85" hidden="false" customHeight="false" outlineLevel="0" collapsed="false">
      <c r="A65" s="18" t="s">
        <v>633</v>
      </c>
      <c r="B65" s="18" t="s">
        <v>47</v>
      </c>
      <c r="C65" s="18" t="s">
        <v>54</v>
      </c>
      <c r="D65" s="18" t="s">
        <v>33</v>
      </c>
      <c r="E65" s="18" t="s">
        <v>17</v>
      </c>
      <c r="F65" s="19" t="s">
        <v>634</v>
      </c>
      <c r="G65" s="19"/>
      <c r="H65" s="19" t="s">
        <v>635</v>
      </c>
      <c r="I65" s="19" t="s">
        <v>636</v>
      </c>
      <c r="J65" s="19" t="s">
        <v>637</v>
      </c>
      <c r="K65" s="19" t="s">
        <v>638</v>
      </c>
      <c r="L65" s="19" t="s">
        <v>639</v>
      </c>
      <c r="M65" s="19"/>
      <c r="N65" s="19"/>
      <c r="O65" s="19" t="s">
        <v>142</v>
      </c>
      <c r="P65" s="19" t="s">
        <v>143</v>
      </c>
      <c r="Q65" s="19"/>
      <c r="R65" s="19"/>
      <c r="S65" s="19"/>
      <c r="T65" s="19"/>
    </row>
    <row r="66" customFormat="false" ht="74.6" hidden="false" customHeight="false" outlineLevel="0" collapsed="false">
      <c r="A66" s="18" t="s">
        <v>640</v>
      </c>
      <c r="B66" s="18" t="s">
        <v>47</v>
      </c>
      <c r="C66" s="18" t="s">
        <v>54</v>
      </c>
      <c r="D66" s="18" t="s">
        <v>33</v>
      </c>
      <c r="E66" s="18" t="s">
        <v>17</v>
      </c>
      <c r="F66" s="19" t="s">
        <v>641</v>
      </c>
      <c r="G66" s="20" t="s">
        <v>642</v>
      </c>
      <c r="H66" s="19" t="s">
        <v>643</v>
      </c>
      <c r="I66" s="19" t="s">
        <v>644</v>
      </c>
      <c r="J66" s="19" t="s">
        <v>645</v>
      </c>
      <c r="K66" s="19" t="s">
        <v>631</v>
      </c>
      <c r="L66" s="19" t="s">
        <v>646</v>
      </c>
      <c r="M66" s="19"/>
      <c r="N66" s="19"/>
      <c r="O66" s="19" t="s">
        <v>142</v>
      </c>
      <c r="P66" s="19" t="s">
        <v>143</v>
      </c>
      <c r="Q66" s="19"/>
      <c r="R66" s="19"/>
      <c r="S66" s="19"/>
      <c r="T66" s="19"/>
    </row>
    <row r="67" customFormat="false" ht="23.85" hidden="false" customHeight="false" outlineLevel="0" collapsed="false">
      <c r="A67" s="18" t="s">
        <v>647</v>
      </c>
      <c r="B67" s="18" t="s">
        <v>47</v>
      </c>
      <c r="C67" s="18" t="s">
        <v>54</v>
      </c>
      <c r="D67" s="18" t="s">
        <v>33</v>
      </c>
      <c r="E67" s="18" t="s">
        <v>17</v>
      </c>
      <c r="F67" s="19" t="s">
        <v>648</v>
      </c>
      <c r="G67" s="19"/>
      <c r="H67" s="19" t="s">
        <v>649</v>
      </c>
      <c r="I67" s="19" t="s">
        <v>650</v>
      </c>
      <c r="J67" s="19" t="s">
        <v>651</v>
      </c>
      <c r="K67" s="19" t="s">
        <v>652</v>
      </c>
      <c r="L67" s="19" t="s">
        <v>653</v>
      </c>
      <c r="M67" s="19"/>
      <c r="N67" s="19"/>
      <c r="O67" s="19" t="s">
        <v>142</v>
      </c>
      <c r="P67" s="19" t="s">
        <v>143</v>
      </c>
      <c r="Q67" s="19"/>
      <c r="R67" s="19"/>
      <c r="S67" s="19"/>
      <c r="T67" s="19"/>
    </row>
    <row r="68" customFormat="false" ht="23.85" hidden="false" customHeight="false" outlineLevel="0" collapsed="false">
      <c r="A68" s="18" t="s">
        <v>654</v>
      </c>
      <c r="B68" s="18" t="s">
        <v>47</v>
      </c>
      <c r="C68" s="18" t="s">
        <v>54</v>
      </c>
      <c r="D68" s="18" t="s">
        <v>33</v>
      </c>
      <c r="E68" s="18" t="s">
        <v>19</v>
      </c>
      <c r="F68" s="19" t="s">
        <v>655</v>
      </c>
      <c r="G68" s="19"/>
      <c r="H68" s="19" t="s">
        <v>656</v>
      </c>
      <c r="I68" s="19" t="s">
        <v>657</v>
      </c>
      <c r="J68" s="19" t="s">
        <v>658</v>
      </c>
      <c r="K68" s="19" t="s">
        <v>659</v>
      </c>
      <c r="L68" s="19" t="s">
        <v>660</v>
      </c>
      <c r="M68" s="19"/>
      <c r="N68" s="19"/>
      <c r="O68" s="19" t="s">
        <v>142</v>
      </c>
      <c r="P68" s="19" t="s">
        <v>143</v>
      </c>
      <c r="Q68" s="19"/>
      <c r="R68" s="19"/>
      <c r="S68" s="19"/>
      <c r="T68" s="19"/>
    </row>
    <row r="69" customFormat="false" ht="85.05" hidden="false" customHeight="false" outlineLevel="0" collapsed="false">
      <c r="A69" s="18" t="s">
        <v>661</v>
      </c>
      <c r="B69" s="18" t="s">
        <v>47</v>
      </c>
      <c r="C69" s="18" t="s">
        <v>54</v>
      </c>
      <c r="D69" s="18" t="s">
        <v>34</v>
      </c>
      <c r="E69" s="18" t="s">
        <v>17</v>
      </c>
      <c r="F69" s="19" t="s">
        <v>662</v>
      </c>
      <c r="G69" s="20" t="s">
        <v>663</v>
      </c>
      <c r="H69" s="19" t="s">
        <v>664</v>
      </c>
      <c r="I69" s="19" t="s">
        <v>665</v>
      </c>
      <c r="J69" s="19" t="s">
        <v>666</v>
      </c>
      <c r="K69" s="19" t="s">
        <v>667</v>
      </c>
      <c r="L69" s="19" t="s">
        <v>668</v>
      </c>
      <c r="M69" s="19"/>
      <c r="N69" s="19"/>
      <c r="O69" s="19" t="s">
        <v>142</v>
      </c>
      <c r="P69" s="19" t="s">
        <v>143</v>
      </c>
      <c r="Q69" s="19"/>
      <c r="R69" s="19"/>
      <c r="S69" s="19"/>
      <c r="T69" s="19"/>
    </row>
    <row r="70" customFormat="false" ht="35.05" hidden="false" customHeight="false" outlineLevel="0" collapsed="false">
      <c r="A70" s="18" t="s">
        <v>669</v>
      </c>
      <c r="B70" s="18" t="s">
        <v>47</v>
      </c>
      <c r="C70" s="18" t="s">
        <v>54</v>
      </c>
      <c r="D70" s="18" t="s">
        <v>34</v>
      </c>
      <c r="E70" s="18" t="s">
        <v>17</v>
      </c>
      <c r="F70" s="19" t="s">
        <v>670</v>
      </c>
      <c r="G70" s="19"/>
      <c r="H70" s="19" t="s">
        <v>671</v>
      </c>
      <c r="I70" s="19" t="s">
        <v>672</v>
      </c>
      <c r="J70" s="19" t="s">
        <v>673</v>
      </c>
      <c r="K70" s="19" t="s">
        <v>674</v>
      </c>
      <c r="L70" s="19" t="s">
        <v>675</v>
      </c>
      <c r="M70" s="19"/>
      <c r="N70" s="19"/>
      <c r="O70" s="19" t="s">
        <v>142</v>
      </c>
      <c r="P70" s="19" t="s">
        <v>143</v>
      </c>
      <c r="Q70" s="19"/>
      <c r="R70" s="19"/>
      <c r="S70" s="19"/>
      <c r="T70" s="19"/>
    </row>
    <row r="71" customFormat="false" ht="23.85" hidden="false" customHeight="false" outlineLevel="0" collapsed="false">
      <c r="A71" s="18" t="s">
        <v>676</v>
      </c>
      <c r="B71" s="18" t="s">
        <v>47</v>
      </c>
      <c r="C71" s="18" t="s">
        <v>54</v>
      </c>
      <c r="D71" s="18" t="s">
        <v>34</v>
      </c>
      <c r="E71" s="18" t="s">
        <v>17</v>
      </c>
      <c r="F71" s="19" t="s">
        <v>677</v>
      </c>
      <c r="G71" s="19"/>
      <c r="H71" s="19" t="s">
        <v>678</v>
      </c>
      <c r="I71" s="19" t="s">
        <v>679</v>
      </c>
      <c r="J71" s="19" t="s">
        <v>680</v>
      </c>
      <c r="K71" s="19" t="s">
        <v>454</v>
      </c>
      <c r="L71" s="19" t="s">
        <v>681</v>
      </c>
      <c r="M71" s="19"/>
      <c r="N71" s="19"/>
      <c r="O71" s="19" t="s">
        <v>142</v>
      </c>
      <c r="P71" s="19" t="s">
        <v>143</v>
      </c>
      <c r="Q71" s="19"/>
      <c r="R71" s="19"/>
      <c r="S71" s="19"/>
      <c r="T71" s="19"/>
    </row>
    <row r="72" customFormat="false" ht="23.85" hidden="false" customHeight="false" outlineLevel="0" collapsed="false">
      <c r="A72" s="18" t="s">
        <v>682</v>
      </c>
      <c r="B72" s="18" t="s">
        <v>47</v>
      </c>
      <c r="C72" s="18" t="s">
        <v>54</v>
      </c>
      <c r="D72" s="18" t="s">
        <v>34</v>
      </c>
      <c r="E72" s="18" t="s">
        <v>17</v>
      </c>
      <c r="F72" s="19" t="s">
        <v>683</v>
      </c>
      <c r="G72" s="19"/>
      <c r="H72" s="19" t="s">
        <v>684</v>
      </c>
      <c r="I72" s="19" t="s">
        <v>685</v>
      </c>
      <c r="J72" s="19" t="s">
        <v>686</v>
      </c>
      <c r="K72" s="19" t="s">
        <v>687</v>
      </c>
      <c r="L72" s="19" t="s">
        <v>688</v>
      </c>
      <c r="M72" s="19"/>
      <c r="N72" s="19"/>
      <c r="O72" s="19" t="s">
        <v>142</v>
      </c>
      <c r="P72" s="19" t="s">
        <v>143</v>
      </c>
      <c r="Q72" s="19"/>
      <c r="R72" s="19"/>
      <c r="S72" s="19"/>
      <c r="T72" s="19"/>
    </row>
    <row r="73" customFormat="false" ht="53.7" hidden="false" customHeight="false" outlineLevel="0" collapsed="false">
      <c r="A73" s="18" t="s">
        <v>689</v>
      </c>
      <c r="B73" s="18" t="s">
        <v>47</v>
      </c>
      <c r="C73" s="18" t="s">
        <v>54</v>
      </c>
      <c r="D73" s="18" t="s">
        <v>35</v>
      </c>
      <c r="E73" s="18" t="s">
        <v>17</v>
      </c>
      <c r="F73" s="19" t="s">
        <v>690</v>
      </c>
      <c r="G73" s="20" t="s">
        <v>691</v>
      </c>
      <c r="H73" s="19" t="s">
        <v>692</v>
      </c>
      <c r="I73" s="19" t="s">
        <v>693</v>
      </c>
      <c r="J73" s="19" t="s">
        <v>694</v>
      </c>
      <c r="K73" s="19" t="s">
        <v>695</v>
      </c>
      <c r="L73" s="19" t="s">
        <v>696</v>
      </c>
      <c r="M73" s="19"/>
      <c r="N73" s="19"/>
      <c r="O73" s="19" t="s">
        <v>142</v>
      </c>
      <c r="P73" s="19" t="s">
        <v>143</v>
      </c>
      <c r="Q73" s="19"/>
      <c r="R73" s="19"/>
      <c r="S73" s="19"/>
      <c r="T73" s="19"/>
    </row>
    <row r="74" customFormat="false" ht="35.05" hidden="false" customHeight="false" outlineLevel="0" collapsed="false">
      <c r="A74" s="18" t="s">
        <v>697</v>
      </c>
      <c r="B74" s="18" t="s">
        <v>47</v>
      </c>
      <c r="C74" s="18" t="s">
        <v>54</v>
      </c>
      <c r="D74" s="18" t="s">
        <v>35</v>
      </c>
      <c r="E74" s="18" t="s">
        <v>17</v>
      </c>
      <c r="F74" s="19" t="s">
        <v>698</v>
      </c>
      <c r="G74" s="19"/>
      <c r="H74" s="19" t="s">
        <v>699</v>
      </c>
      <c r="I74" s="19" t="s">
        <v>700</v>
      </c>
      <c r="J74" s="19" t="s">
        <v>701</v>
      </c>
      <c r="K74" s="19" t="s">
        <v>702</v>
      </c>
      <c r="L74" s="19" t="s">
        <v>703</v>
      </c>
      <c r="M74" s="19"/>
      <c r="N74" s="19"/>
      <c r="O74" s="19" t="s">
        <v>142</v>
      </c>
      <c r="P74" s="19" t="s">
        <v>143</v>
      </c>
      <c r="Q74" s="19"/>
      <c r="R74" s="19"/>
      <c r="S74" s="19"/>
      <c r="T74" s="19"/>
    </row>
    <row r="75" customFormat="false" ht="35.05" hidden="false" customHeight="false" outlineLevel="0" collapsed="false">
      <c r="A75" s="18" t="s">
        <v>704</v>
      </c>
      <c r="B75" s="18" t="s">
        <v>47</v>
      </c>
      <c r="C75" s="18" t="s">
        <v>54</v>
      </c>
      <c r="D75" s="18" t="s">
        <v>35</v>
      </c>
      <c r="E75" s="18" t="s">
        <v>17</v>
      </c>
      <c r="F75" s="19" t="s">
        <v>705</v>
      </c>
      <c r="G75" s="19"/>
      <c r="H75" s="19" t="s">
        <v>706</v>
      </c>
      <c r="I75" s="19" t="s">
        <v>707</v>
      </c>
      <c r="J75" s="19" t="s">
        <v>708</v>
      </c>
      <c r="K75" s="19" t="s">
        <v>709</v>
      </c>
      <c r="L75" s="19" t="s">
        <v>710</v>
      </c>
      <c r="M75" s="19"/>
      <c r="N75" s="19"/>
      <c r="O75" s="19" t="s">
        <v>142</v>
      </c>
      <c r="P75" s="19" t="s">
        <v>143</v>
      </c>
      <c r="Q75" s="19"/>
      <c r="R75" s="19"/>
      <c r="S75" s="19"/>
      <c r="T75" s="19"/>
    </row>
    <row r="76" customFormat="false" ht="23.85" hidden="false" customHeight="false" outlineLevel="0" collapsed="false">
      <c r="A76" s="18" t="s">
        <v>711</v>
      </c>
      <c r="B76" s="18" t="s">
        <v>47</v>
      </c>
      <c r="C76" s="18" t="s">
        <v>54</v>
      </c>
      <c r="D76" s="18" t="s">
        <v>35</v>
      </c>
      <c r="E76" s="18" t="s">
        <v>17</v>
      </c>
      <c r="F76" s="19" t="s">
        <v>712</v>
      </c>
      <c r="G76" s="19"/>
      <c r="H76" s="19" t="s">
        <v>713</v>
      </c>
      <c r="I76" s="19" t="s">
        <v>714</v>
      </c>
      <c r="J76" s="19" t="s">
        <v>715</v>
      </c>
      <c r="K76" s="19" t="s">
        <v>716</v>
      </c>
      <c r="L76" s="19" t="s">
        <v>717</v>
      </c>
      <c r="M76" s="19"/>
      <c r="N76" s="19"/>
      <c r="O76" s="19" t="s">
        <v>142</v>
      </c>
      <c r="P76" s="19" t="s">
        <v>143</v>
      </c>
      <c r="Q76" s="19"/>
      <c r="R76" s="19"/>
      <c r="S76" s="19"/>
      <c r="T76" s="19"/>
    </row>
    <row r="77" customFormat="false" ht="43.25" hidden="false" customHeight="false" outlineLevel="0" collapsed="false">
      <c r="A77" s="18" t="s">
        <v>718</v>
      </c>
      <c r="B77" s="18" t="s">
        <v>47</v>
      </c>
      <c r="C77" s="18" t="s">
        <v>56</v>
      </c>
      <c r="D77" s="18" t="s">
        <v>33</v>
      </c>
      <c r="E77" s="18" t="s">
        <v>17</v>
      </c>
      <c r="F77" s="19" t="s">
        <v>719</v>
      </c>
      <c r="G77" s="20" t="s">
        <v>720</v>
      </c>
      <c r="H77" s="19" t="s">
        <v>721</v>
      </c>
      <c r="I77" s="19" t="s">
        <v>722</v>
      </c>
      <c r="J77" s="19" t="s">
        <v>723</v>
      </c>
      <c r="K77" s="19" t="s">
        <v>724</v>
      </c>
      <c r="L77" s="19" t="s">
        <v>725</v>
      </c>
      <c r="M77" s="19"/>
      <c r="N77" s="19"/>
      <c r="O77" s="19" t="s">
        <v>142</v>
      </c>
      <c r="P77" s="19" t="s">
        <v>143</v>
      </c>
      <c r="Q77" s="19"/>
      <c r="R77" s="19"/>
      <c r="S77" s="19"/>
      <c r="T77" s="19"/>
    </row>
    <row r="78" customFormat="false" ht="35.05" hidden="false" customHeight="false" outlineLevel="0" collapsed="false">
      <c r="A78" s="18" t="s">
        <v>726</v>
      </c>
      <c r="B78" s="18" t="s">
        <v>47</v>
      </c>
      <c r="C78" s="18" t="s">
        <v>56</v>
      </c>
      <c r="D78" s="18" t="s">
        <v>33</v>
      </c>
      <c r="E78" s="18" t="s">
        <v>17</v>
      </c>
      <c r="F78" s="19" t="s">
        <v>727</v>
      </c>
      <c r="G78" s="19"/>
      <c r="H78" s="19" t="s">
        <v>728</v>
      </c>
      <c r="I78" s="19" t="s">
        <v>729</v>
      </c>
      <c r="J78" s="19" t="s">
        <v>730</v>
      </c>
      <c r="K78" s="19" t="s">
        <v>731</v>
      </c>
      <c r="L78" s="19" t="s">
        <v>732</v>
      </c>
      <c r="M78" s="19"/>
      <c r="N78" s="19"/>
      <c r="O78" s="19" t="s">
        <v>142</v>
      </c>
      <c r="P78" s="19" t="s">
        <v>143</v>
      </c>
      <c r="Q78" s="19"/>
      <c r="R78" s="19"/>
      <c r="S78" s="19"/>
      <c r="T78" s="19"/>
    </row>
    <row r="79" customFormat="false" ht="23.85" hidden="false" customHeight="false" outlineLevel="0" collapsed="false">
      <c r="A79" s="18" t="s">
        <v>733</v>
      </c>
      <c r="B79" s="18" t="s">
        <v>47</v>
      </c>
      <c r="C79" s="18" t="s">
        <v>56</v>
      </c>
      <c r="D79" s="18" t="s">
        <v>33</v>
      </c>
      <c r="E79" s="18" t="s">
        <v>19</v>
      </c>
      <c r="F79" s="19" t="s">
        <v>734</v>
      </c>
      <c r="G79" s="19"/>
      <c r="H79" s="19" t="s">
        <v>735</v>
      </c>
      <c r="I79" s="19" t="s">
        <v>736</v>
      </c>
      <c r="J79" s="19" t="s">
        <v>737</v>
      </c>
      <c r="K79" s="19" t="s">
        <v>738</v>
      </c>
      <c r="L79" s="19" t="s">
        <v>739</v>
      </c>
      <c r="M79" s="19"/>
      <c r="N79" s="19"/>
      <c r="O79" s="19" t="s">
        <v>142</v>
      </c>
      <c r="P79" s="19" t="s">
        <v>143</v>
      </c>
      <c r="Q79" s="19"/>
      <c r="R79" s="19"/>
      <c r="S79" s="19"/>
      <c r="T79" s="19"/>
    </row>
    <row r="80" customFormat="false" ht="35.05" hidden="false" customHeight="false" outlineLevel="0" collapsed="false">
      <c r="A80" s="18" t="s">
        <v>740</v>
      </c>
      <c r="B80" s="18" t="s">
        <v>47</v>
      </c>
      <c r="C80" s="18" t="s">
        <v>56</v>
      </c>
      <c r="D80" s="18" t="s">
        <v>33</v>
      </c>
      <c r="E80" s="18" t="s">
        <v>17</v>
      </c>
      <c r="F80" s="19" t="s">
        <v>741</v>
      </c>
      <c r="G80" s="19"/>
      <c r="H80" s="19" t="s">
        <v>742</v>
      </c>
      <c r="I80" s="19" t="s">
        <v>743</v>
      </c>
      <c r="J80" s="19" t="s">
        <v>744</v>
      </c>
      <c r="K80" s="19" t="s">
        <v>745</v>
      </c>
      <c r="L80" s="19" t="s">
        <v>746</v>
      </c>
      <c r="M80" s="19"/>
      <c r="N80" s="19"/>
      <c r="O80" s="19" t="s">
        <v>142</v>
      </c>
      <c r="P80" s="19" t="s">
        <v>143</v>
      </c>
      <c r="Q80" s="19"/>
      <c r="R80" s="19"/>
      <c r="S80" s="19"/>
      <c r="T80" s="19"/>
    </row>
    <row r="81" customFormat="false" ht="43.25" hidden="false" customHeight="false" outlineLevel="0" collapsed="false">
      <c r="A81" s="18" t="s">
        <v>747</v>
      </c>
      <c r="B81" s="18" t="s">
        <v>47</v>
      </c>
      <c r="C81" s="18" t="s">
        <v>56</v>
      </c>
      <c r="D81" s="18" t="s">
        <v>34</v>
      </c>
      <c r="E81" s="18" t="s">
        <v>17</v>
      </c>
      <c r="F81" s="19" t="s">
        <v>748</v>
      </c>
      <c r="G81" s="20" t="s">
        <v>749</v>
      </c>
      <c r="H81" s="19" t="s">
        <v>750</v>
      </c>
      <c r="I81" s="19" t="s">
        <v>751</v>
      </c>
      <c r="J81" s="19" t="s">
        <v>752</v>
      </c>
      <c r="K81" s="19" t="s">
        <v>753</v>
      </c>
      <c r="L81" s="19" t="s">
        <v>754</v>
      </c>
      <c r="M81" s="19"/>
      <c r="N81" s="19"/>
      <c r="O81" s="19" t="s">
        <v>142</v>
      </c>
      <c r="P81" s="19" t="s">
        <v>143</v>
      </c>
      <c r="Q81" s="19"/>
      <c r="R81" s="19"/>
      <c r="S81" s="19"/>
      <c r="T81" s="19"/>
    </row>
    <row r="82" customFormat="false" ht="23.85" hidden="false" customHeight="false" outlineLevel="0" collapsed="false">
      <c r="A82" s="18" t="s">
        <v>755</v>
      </c>
      <c r="B82" s="18" t="s">
        <v>47</v>
      </c>
      <c r="C82" s="18" t="s">
        <v>56</v>
      </c>
      <c r="D82" s="18" t="s">
        <v>34</v>
      </c>
      <c r="E82" s="18" t="s">
        <v>17</v>
      </c>
      <c r="F82" s="19" t="s">
        <v>756</v>
      </c>
      <c r="G82" s="20" t="s">
        <v>757</v>
      </c>
      <c r="H82" s="19" t="s">
        <v>723</v>
      </c>
      <c r="I82" s="19" t="s">
        <v>722</v>
      </c>
      <c r="J82" s="19" t="s">
        <v>758</v>
      </c>
      <c r="K82" s="19" t="s">
        <v>759</v>
      </c>
      <c r="L82" s="19" t="s">
        <v>760</v>
      </c>
      <c r="M82" s="19"/>
      <c r="N82" s="19"/>
      <c r="O82" s="19" t="s">
        <v>142</v>
      </c>
      <c r="P82" s="19" t="s">
        <v>143</v>
      </c>
      <c r="Q82" s="19"/>
      <c r="R82" s="19"/>
      <c r="S82" s="19"/>
      <c r="T82" s="19"/>
    </row>
    <row r="83" customFormat="false" ht="23.85" hidden="false" customHeight="false" outlineLevel="0" collapsed="false">
      <c r="A83" s="18" t="s">
        <v>761</v>
      </c>
      <c r="B83" s="18" t="s">
        <v>47</v>
      </c>
      <c r="C83" s="18" t="s">
        <v>56</v>
      </c>
      <c r="D83" s="18" t="s">
        <v>34</v>
      </c>
      <c r="E83" s="18" t="s">
        <v>17</v>
      </c>
      <c r="F83" s="19" t="s">
        <v>762</v>
      </c>
      <c r="G83" s="19"/>
      <c r="H83" s="19" t="s">
        <v>763</v>
      </c>
      <c r="I83" s="19" t="s">
        <v>764</v>
      </c>
      <c r="J83" s="19" t="s">
        <v>765</v>
      </c>
      <c r="K83" s="19" t="s">
        <v>766</v>
      </c>
      <c r="L83" s="19" t="s">
        <v>767</v>
      </c>
      <c r="M83" s="19"/>
      <c r="N83" s="19"/>
      <c r="O83" s="19" t="s">
        <v>142</v>
      </c>
      <c r="P83" s="19" t="s">
        <v>143</v>
      </c>
      <c r="Q83" s="19"/>
      <c r="R83" s="19"/>
      <c r="S83" s="19"/>
      <c r="T83" s="19"/>
    </row>
    <row r="84" customFormat="false" ht="35.05" hidden="false" customHeight="false" outlineLevel="0" collapsed="false">
      <c r="A84" s="18" t="s">
        <v>768</v>
      </c>
      <c r="B84" s="18" t="s">
        <v>47</v>
      </c>
      <c r="C84" s="18" t="s">
        <v>56</v>
      </c>
      <c r="D84" s="18" t="s">
        <v>34</v>
      </c>
      <c r="E84" s="18" t="s">
        <v>17</v>
      </c>
      <c r="F84" s="19" t="s">
        <v>769</v>
      </c>
      <c r="G84" s="19"/>
      <c r="H84" s="19" t="s">
        <v>770</v>
      </c>
      <c r="I84" s="19" t="s">
        <v>771</v>
      </c>
      <c r="J84" s="19" t="s">
        <v>772</v>
      </c>
      <c r="K84" s="19" t="s">
        <v>773</v>
      </c>
      <c r="L84" s="19" t="s">
        <v>774</v>
      </c>
      <c r="M84" s="19"/>
      <c r="N84" s="19"/>
      <c r="O84" s="19" t="s">
        <v>142</v>
      </c>
      <c r="P84" s="19" t="s">
        <v>143</v>
      </c>
      <c r="Q84" s="19"/>
      <c r="R84" s="19"/>
      <c r="S84" s="19"/>
      <c r="T84" s="19"/>
    </row>
    <row r="85" customFormat="false" ht="35.05" hidden="false" customHeight="false" outlineLevel="0" collapsed="false">
      <c r="A85" s="18" t="s">
        <v>775</v>
      </c>
      <c r="B85" s="18" t="s">
        <v>47</v>
      </c>
      <c r="C85" s="18" t="s">
        <v>56</v>
      </c>
      <c r="D85" s="18" t="s">
        <v>35</v>
      </c>
      <c r="E85" s="18" t="s">
        <v>17</v>
      </c>
      <c r="F85" s="19" t="s">
        <v>776</v>
      </c>
      <c r="G85" s="19"/>
      <c r="H85" s="19" t="s">
        <v>777</v>
      </c>
      <c r="I85" s="19" t="s">
        <v>778</v>
      </c>
      <c r="J85" s="19" t="s">
        <v>779</v>
      </c>
      <c r="K85" s="19" t="s">
        <v>780</v>
      </c>
      <c r="L85" s="19" t="s">
        <v>781</v>
      </c>
      <c r="M85" s="19"/>
      <c r="N85" s="19"/>
      <c r="O85" s="19" t="s">
        <v>142</v>
      </c>
      <c r="P85" s="19" t="s">
        <v>143</v>
      </c>
      <c r="Q85" s="19"/>
      <c r="R85" s="19"/>
      <c r="S85" s="19"/>
      <c r="T85" s="19"/>
    </row>
    <row r="86" customFormat="false" ht="43.25" hidden="false" customHeight="false" outlineLevel="0" collapsed="false">
      <c r="A86" s="18" t="s">
        <v>782</v>
      </c>
      <c r="B86" s="18" t="s">
        <v>47</v>
      </c>
      <c r="C86" s="18" t="s">
        <v>56</v>
      </c>
      <c r="D86" s="18" t="s">
        <v>35</v>
      </c>
      <c r="E86" s="18" t="s">
        <v>17</v>
      </c>
      <c r="F86" s="19" t="s">
        <v>783</v>
      </c>
      <c r="G86" s="20" t="s">
        <v>784</v>
      </c>
      <c r="H86" s="19" t="s">
        <v>785</v>
      </c>
      <c r="I86" s="19" t="s">
        <v>786</v>
      </c>
      <c r="J86" s="19" t="s">
        <v>787</v>
      </c>
      <c r="K86" s="19" t="s">
        <v>788</v>
      </c>
      <c r="L86" s="19" t="s">
        <v>789</v>
      </c>
      <c r="M86" s="19"/>
      <c r="N86" s="19"/>
      <c r="O86" s="19" t="s">
        <v>142</v>
      </c>
      <c r="P86" s="19" t="s">
        <v>143</v>
      </c>
      <c r="Q86" s="19"/>
      <c r="R86" s="19"/>
      <c r="S86" s="19"/>
      <c r="T86" s="19"/>
    </row>
    <row r="87" customFormat="false" ht="23.85" hidden="false" customHeight="false" outlineLevel="0" collapsed="false">
      <c r="A87" s="18" t="s">
        <v>790</v>
      </c>
      <c r="B87" s="18" t="s">
        <v>47</v>
      </c>
      <c r="C87" s="18" t="s">
        <v>56</v>
      </c>
      <c r="D87" s="18" t="s">
        <v>35</v>
      </c>
      <c r="E87" s="18" t="s">
        <v>17</v>
      </c>
      <c r="F87" s="19" t="s">
        <v>791</v>
      </c>
      <c r="G87" s="19"/>
      <c r="H87" s="19" t="s">
        <v>792</v>
      </c>
      <c r="I87" s="19" t="s">
        <v>793</v>
      </c>
      <c r="J87" s="19" t="s">
        <v>794</v>
      </c>
      <c r="K87" s="19" t="s">
        <v>795</v>
      </c>
      <c r="L87" s="19" t="s">
        <v>796</v>
      </c>
      <c r="M87" s="19"/>
      <c r="N87" s="19"/>
      <c r="O87" s="19" t="s">
        <v>142</v>
      </c>
      <c r="P87" s="19" t="s">
        <v>143</v>
      </c>
      <c r="Q87" s="19"/>
      <c r="R87" s="19"/>
      <c r="S87" s="19"/>
      <c r="T87" s="19"/>
    </row>
    <row r="88" customFormat="false" ht="46.25" hidden="false" customHeight="false" outlineLevel="0" collapsed="false">
      <c r="A88" s="18" t="s">
        <v>797</v>
      </c>
      <c r="B88" s="18" t="s">
        <v>47</v>
      </c>
      <c r="C88" s="18" t="s">
        <v>56</v>
      </c>
      <c r="D88" s="18" t="s">
        <v>35</v>
      </c>
      <c r="E88" s="18" t="s">
        <v>17</v>
      </c>
      <c r="F88" s="19" t="s">
        <v>798</v>
      </c>
      <c r="G88" s="19"/>
      <c r="H88" s="19" t="s">
        <v>799</v>
      </c>
      <c r="I88" s="19" t="s">
        <v>800</v>
      </c>
      <c r="J88" s="19" t="s">
        <v>801</v>
      </c>
      <c r="K88" s="19" t="s">
        <v>802</v>
      </c>
      <c r="L88" s="19" t="s">
        <v>803</v>
      </c>
      <c r="M88" s="19"/>
      <c r="N88" s="19"/>
      <c r="O88" s="19" t="s">
        <v>142</v>
      </c>
      <c r="P88" s="19" t="s">
        <v>143</v>
      </c>
      <c r="Q88" s="19"/>
      <c r="R88" s="19"/>
      <c r="S88" s="19"/>
      <c r="T88" s="19"/>
    </row>
    <row r="89" customFormat="false" ht="23.85" hidden="false" customHeight="false" outlineLevel="0" collapsed="false">
      <c r="A89" s="18" t="s">
        <v>804</v>
      </c>
      <c r="B89" s="18" t="s">
        <v>47</v>
      </c>
      <c r="C89" s="18" t="s">
        <v>58</v>
      </c>
      <c r="D89" s="18" t="s">
        <v>33</v>
      </c>
      <c r="E89" s="18" t="s">
        <v>19</v>
      </c>
      <c r="F89" s="19" t="s">
        <v>805</v>
      </c>
      <c r="G89" s="19"/>
      <c r="H89" s="19" t="s">
        <v>806</v>
      </c>
      <c r="I89" s="19" t="s">
        <v>807</v>
      </c>
      <c r="J89" s="19" t="s">
        <v>808</v>
      </c>
      <c r="K89" s="19" t="s">
        <v>809</v>
      </c>
      <c r="L89" s="19" t="s">
        <v>810</v>
      </c>
      <c r="M89" s="19"/>
      <c r="N89" s="19"/>
      <c r="O89" s="19" t="s">
        <v>142</v>
      </c>
      <c r="P89" s="19" t="s">
        <v>143</v>
      </c>
      <c r="Q89" s="19"/>
      <c r="R89" s="19"/>
      <c r="S89" s="19"/>
      <c r="T89" s="19"/>
    </row>
    <row r="90" customFormat="false" ht="23.85" hidden="false" customHeight="false" outlineLevel="0" collapsed="false">
      <c r="A90" s="18" t="s">
        <v>811</v>
      </c>
      <c r="B90" s="18" t="s">
        <v>47</v>
      </c>
      <c r="C90" s="18" t="s">
        <v>58</v>
      </c>
      <c r="D90" s="18" t="s">
        <v>33</v>
      </c>
      <c r="E90" s="18" t="s">
        <v>17</v>
      </c>
      <c r="F90" s="19" t="s">
        <v>812</v>
      </c>
      <c r="G90" s="19"/>
      <c r="H90" s="19" t="s">
        <v>813</v>
      </c>
      <c r="I90" s="19" t="s">
        <v>814</v>
      </c>
      <c r="J90" s="19" t="s">
        <v>815</v>
      </c>
      <c r="K90" s="19" t="s">
        <v>454</v>
      </c>
      <c r="L90" s="19" t="s">
        <v>816</v>
      </c>
      <c r="M90" s="19"/>
      <c r="N90" s="19"/>
      <c r="O90" s="19" t="s">
        <v>142</v>
      </c>
      <c r="P90" s="19" t="s">
        <v>143</v>
      </c>
      <c r="Q90" s="19"/>
      <c r="R90" s="19"/>
      <c r="S90" s="19"/>
      <c r="T90" s="19"/>
    </row>
    <row r="91" customFormat="false" ht="53.7" hidden="false" customHeight="false" outlineLevel="0" collapsed="false">
      <c r="A91" s="18" t="s">
        <v>817</v>
      </c>
      <c r="B91" s="18" t="s">
        <v>47</v>
      </c>
      <c r="C91" s="18" t="s">
        <v>58</v>
      </c>
      <c r="D91" s="18" t="s">
        <v>33</v>
      </c>
      <c r="E91" s="18" t="s">
        <v>17</v>
      </c>
      <c r="F91" s="19" t="s">
        <v>818</v>
      </c>
      <c r="G91" s="20" t="s">
        <v>819</v>
      </c>
      <c r="H91" s="19" t="s">
        <v>820</v>
      </c>
      <c r="I91" s="19" t="s">
        <v>821</v>
      </c>
      <c r="J91" s="19" t="s">
        <v>822</v>
      </c>
      <c r="K91" s="19" t="s">
        <v>400</v>
      </c>
      <c r="L91" s="19" t="s">
        <v>823</v>
      </c>
      <c r="M91" s="19"/>
      <c r="N91" s="19"/>
      <c r="O91" s="19" t="s">
        <v>142</v>
      </c>
      <c r="P91" s="19" t="s">
        <v>143</v>
      </c>
      <c r="Q91" s="19"/>
      <c r="R91" s="19"/>
      <c r="S91" s="19"/>
      <c r="T91" s="19"/>
    </row>
    <row r="92" customFormat="false" ht="35.05" hidden="false" customHeight="false" outlineLevel="0" collapsed="false">
      <c r="A92" s="18" t="s">
        <v>824</v>
      </c>
      <c r="B92" s="18" t="s">
        <v>47</v>
      </c>
      <c r="C92" s="18" t="s">
        <v>58</v>
      </c>
      <c r="D92" s="18" t="s">
        <v>33</v>
      </c>
      <c r="E92" s="18" t="s">
        <v>17</v>
      </c>
      <c r="F92" s="19" t="s">
        <v>825</v>
      </c>
      <c r="G92" s="19"/>
      <c r="H92" s="19" t="s">
        <v>826</v>
      </c>
      <c r="I92" s="19" t="s">
        <v>827</v>
      </c>
      <c r="J92" s="19" t="s">
        <v>828</v>
      </c>
      <c r="K92" s="19" t="s">
        <v>829</v>
      </c>
      <c r="L92" s="19" t="s">
        <v>830</v>
      </c>
      <c r="M92" s="19"/>
      <c r="N92" s="19"/>
      <c r="O92" s="19" t="s">
        <v>142</v>
      </c>
      <c r="P92" s="19" t="s">
        <v>143</v>
      </c>
      <c r="Q92" s="19"/>
      <c r="R92" s="19"/>
      <c r="S92" s="19"/>
      <c r="T92" s="19"/>
    </row>
    <row r="93" customFormat="false" ht="23.85" hidden="false" customHeight="false" outlineLevel="0" collapsed="false">
      <c r="A93" s="18" t="s">
        <v>831</v>
      </c>
      <c r="B93" s="18" t="s">
        <v>47</v>
      </c>
      <c r="C93" s="18" t="s">
        <v>58</v>
      </c>
      <c r="D93" s="18" t="s">
        <v>34</v>
      </c>
      <c r="E93" s="18" t="s">
        <v>17</v>
      </c>
      <c r="F93" s="19" t="s">
        <v>832</v>
      </c>
      <c r="G93" s="19"/>
      <c r="H93" s="19" t="s">
        <v>833</v>
      </c>
      <c r="I93" s="19" t="s">
        <v>834</v>
      </c>
      <c r="J93" s="19" t="s">
        <v>835</v>
      </c>
      <c r="K93" s="19" t="s">
        <v>836</v>
      </c>
      <c r="L93" s="19" t="s">
        <v>837</v>
      </c>
      <c r="M93" s="19"/>
      <c r="N93" s="19"/>
      <c r="O93" s="19" t="s">
        <v>142</v>
      </c>
      <c r="P93" s="19" t="s">
        <v>143</v>
      </c>
      <c r="Q93" s="19"/>
      <c r="R93" s="19"/>
      <c r="S93" s="19"/>
      <c r="T93" s="19"/>
    </row>
    <row r="94" customFormat="false" ht="64.15" hidden="false" customHeight="false" outlineLevel="0" collapsed="false">
      <c r="A94" s="18" t="s">
        <v>838</v>
      </c>
      <c r="B94" s="18" t="s">
        <v>47</v>
      </c>
      <c r="C94" s="18" t="s">
        <v>58</v>
      </c>
      <c r="D94" s="18" t="s">
        <v>34</v>
      </c>
      <c r="E94" s="18" t="s">
        <v>17</v>
      </c>
      <c r="F94" s="19" t="s">
        <v>839</v>
      </c>
      <c r="G94" s="20" t="s">
        <v>840</v>
      </c>
      <c r="H94" s="19" t="s">
        <v>841</v>
      </c>
      <c r="I94" s="19" t="s">
        <v>842</v>
      </c>
      <c r="J94" s="19" t="s">
        <v>843</v>
      </c>
      <c r="K94" s="19" t="s">
        <v>844</v>
      </c>
      <c r="L94" s="19" t="s">
        <v>845</v>
      </c>
      <c r="M94" s="19"/>
      <c r="N94" s="19"/>
      <c r="O94" s="19" t="s">
        <v>142</v>
      </c>
      <c r="P94" s="19" t="s">
        <v>143</v>
      </c>
      <c r="Q94" s="19"/>
      <c r="R94" s="19"/>
      <c r="S94" s="19"/>
      <c r="T94" s="19"/>
    </row>
    <row r="95" customFormat="false" ht="35.05" hidden="false" customHeight="false" outlineLevel="0" collapsed="false">
      <c r="A95" s="18" t="s">
        <v>846</v>
      </c>
      <c r="B95" s="18" t="s">
        <v>47</v>
      </c>
      <c r="C95" s="18" t="s">
        <v>58</v>
      </c>
      <c r="D95" s="18" t="s">
        <v>34</v>
      </c>
      <c r="E95" s="18" t="s">
        <v>17</v>
      </c>
      <c r="F95" s="19" t="s">
        <v>847</v>
      </c>
      <c r="G95" s="19"/>
      <c r="H95" s="19" t="s">
        <v>848</v>
      </c>
      <c r="I95" s="19" t="s">
        <v>849</v>
      </c>
      <c r="J95" s="19" t="s">
        <v>850</v>
      </c>
      <c r="K95" s="19" t="s">
        <v>851</v>
      </c>
      <c r="L95" s="19" t="s">
        <v>852</v>
      </c>
      <c r="M95" s="19"/>
      <c r="N95" s="19"/>
      <c r="O95" s="19" t="s">
        <v>142</v>
      </c>
      <c r="P95" s="19" t="s">
        <v>143</v>
      </c>
      <c r="Q95" s="19"/>
      <c r="R95" s="19"/>
      <c r="S95" s="19"/>
      <c r="T95" s="19"/>
    </row>
    <row r="96" customFormat="false" ht="64.15" hidden="false" customHeight="false" outlineLevel="0" collapsed="false">
      <c r="A96" s="18" t="s">
        <v>853</v>
      </c>
      <c r="B96" s="18" t="s">
        <v>47</v>
      </c>
      <c r="C96" s="18" t="s">
        <v>58</v>
      </c>
      <c r="D96" s="18" t="s">
        <v>34</v>
      </c>
      <c r="E96" s="18" t="s">
        <v>17</v>
      </c>
      <c r="F96" s="19" t="s">
        <v>854</v>
      </c>
      <c r="G96" s="20" t="s">
        <v>855</v>
      </c>
      <c r="H96" s="19" t="s">
        <v>856</v>
      </c>
      <c r="I96" s="19" t="s">
        <v>857</v>
      </c>
      <c r="J96" s="19" t="s">
        <v>858</v>
      </c>
      <c r="K96" s="19" t="s">
        <v>859</v>
      </c>
      <c r="L96" s="19" t="s">
        <v>860</v>
      </c>
      <c r="M96" s="19"/>
      <c r="N96" s="19"/>
      <c r="O96" s="19" t="s">
        <v>142</v>
      </c>
      <c r="P96" s="19" t="s">
        <v>143</v>
      </c>
      <c r="Q96" s="19"/>
      <c r="R96" s="19"/>
      <c r="S96" s="19"/>
      <c r="T96" s="19"/>
    </row>
    <row r="97" customFormat="false" ht="53.7" hidden="false" customHeight="false" outlineLevel="0" collapsed="false">
      <c r="A97" s="18" t="s">
        <v>861</v>
      </c>
      <c r="B97" s="18" t="s">
        <v>47</v>
      </c>
      <c r="C97" s="18" t="s">
        <v>58</v>
      </c>
      <c r="D97" s="18" t="s">
        <v>35</v>
      </c>
      <c r="E97" s="18" t="s">
        <v>17</v>
      </c>
      <c r="F97" s="19" t="s">
        <v>862</v>
      </c>
      <c r="G97" s="20" t="s">
        <v>863</v>
      </c>
      <c r="H97" s="19" t="s">
        <v>864</v>
      </c>
      <c r="I97" s="19" t="s">
        <v>865</v>
      </c>
      <c r="J97" s="19" t="s">
        <v>866</v>
      </c>
      <c r="K97" s="19" t="s">
        <v>867</v>
      </c>
      <c r="L97" s="19" t="s">
        <v>868</v>
      </c>
      <c r="M97" s="19"/>
      <c r="N97" s="19"/>
      <c r="O97" s="19" t="s">
        <v>142</v>
      </c>
      <c r="P97" s="19" t="s">
        <v>143</v>
      </c>
      <c r="Q97" s="19"/>
      <c r="R97" s="19"/>
      <c r="S97" s="19"/>
      <c r="T97" s="19"/>
    </row>
    <row r="98" customFormat="false" ht="46.25" hidden="false" customHeight="false" outlineLevel="0" collapsed="false">
      <c r="A98" s="18" t="s">
        <v>869</v>
      </c>
      <c r="B98" s="18" t="s">
        <v>47</v>
      </c>
      <c r="C98" s="18" t="s">
        <v>58</v>
      </c>
      <c r="D98" s="18" t="s">
        <v>35</v>
      </c>
      <c r="E98" s="18" t="s">
        <v>17</v>
      </c>
      <c r="F98" s="19" t="s">
        <v>870</v>
      </c>
      <c r="G98" s="19"/>
      <c r="H98" s="19" t="s">
        <v>871</v>
      </c>
      <c r="I98" s="19" t="s">
        <v>437</v>
      </c>
      <c r="J98" s="19" t="s">
        <v>872</v>
      </c>
      <c r="K98" s="19" t="s">
        <v>873</v>
      </c>
      <c r="L98" s="19" t="s">
        <v>874</v>
      </c>
      <c r="M98" s="19"/>
      <c r="N98" s="19"/>
      <c r="O98" s="19" t="s">
        <v>142</v>
      </c>
      <c r="P98" s="19" t="s">
        <v>143</v>
      </c>
      <c r="Q98" s="19"/>
      <c r="R98" s="19"/>
      <c r="S98" s="19"/>
      <c r="T98" s="19"/>
    </row>
    <row r="99" customFormat="false" ht="23.85" hidden="false" customHeight="false" outlineLevel="0" collapsed="false">
      <c r="A99" s="18" t="s">
        <v>875</v>
      </c>
      <c r="B99" s="18" t="s">
        <v>47</v>
      </c>
      <c r="C99" s="18" t="s">
        <v>58</v>
      </c>
      <c r="D99" s="18" t="s">
        <v>35</v>
      </c>
      <c r="E99" s="18" t="s">
        <v>17</v>
      </c>
      <c r="F99" s="19" t="s">
        <v>876</v>
      </c>
      <c r="G99" s="19"/>
      <c r="H99" s="19" t="s">
        <v>877</v>
      </c>
      <c r="I99" s="19" t="s">
        <v>878</v>
      </c>
      <c r="J99" s="19" t="s">
        <v>879</v>
      </c>
      <c r="K99" s="19" t="s">
        <v>880</v>
      </c>
      <c r="L99" s="19" t="s">
        <v>881</v>
      </c>
      <c r="M99" s="19"/>
      <c r="N99" s="19"/>
      <c r="O99" s="19" t="s">
        <v>142</v>
      </c>
      <c r="P99" s="19" t="s">
        <v>143</v>
      </c>
      <c r="Q99" s="19"/>
      <c r="R99" s="19"/>
      <c r="S99" s="19"/>
      <c r="T99" s="19"/>
    </row>
    <row r="100" customFormat="false" ht="23.85" hidden="false" customHeight="false" outlineLevel="0" collapsed="false">
      <c r="A100" s="18" t="s">
        <v>882</v>
      </c>
      <c r="B100" s="18" t="s">
        <v>47</v>
      </c>
      <c r="C100" s="18" t="s">
        <v>58</v>
      </c>
      <c r="D100" s="18" t="s">
        <v>35</v>
      </c>
      <c r="E100" s="18" t="s">
        <v>17</v>
      </c>
      <c r="F100" s="19" t="s">
        <v>883</v>
      </c>
      <c r="G100" s="19"/>
      <c r="H100" s="19" t="s">
        <v>884</v>
      </c>
      <c r="I100" s="19" t="s">
        <v>885</v>
      </c>
      <c r="J100" s="19" t="s">
        <v>886</v>
      </c>
      <c r="K100" s="19" t="s">
        <v>887</v>
      </c>
      <c r="L100" s="19" t="s">
        <v>888</v>
      </c>
      <c r="M100" s="19"/>
      <c r="N100" s="19"/>
      <c r="O100" s="19" t="s">
        <v>142</v>
      </c>
      <c r="P100" s="19" t="s">
        <v>143</v>
      </c>
      <c r="Q100" s="19"/>
      <c r="R100" s="19"/>
      <c r="S100" s="19"/>
      <c r="T100" s="19"/>
    </row>
    <row r="101" customFormat="false" ht="23.85" hidden="false" customHeight="false" outlineLevel="0" collapsed="false">
      <c r="A101" s="18" t="s">
        <v>889</v>
      </c>
      <c r="B101" s="18" t="s">
        <v>47</v>
      </c>
      <c r="C101" s="18" t="s">
        <v>60</v>
      </c>
      <c r="D101" s="18" t="s">
        <v>33</v>
      </c>
      <c r="E101" s="18" t="s">
        <v>17</v>
      </c>
      <c r="F101" s="19" t="s">
        <v>890</v>
      </c>
      <c r="G101" s="19"/>
      <c r="H101" s="19" t="s">
        <v>891</v>
      </c>
      <c r="I101" s="19" t="s">
        <v>892</v>
      </c>
      <c r="J101" s="19" t="s">
        <v>893</v>
      </c>
      <c r="K101" s="19" t="s">
        <v>894</v>
      </c>
      <c r="L101" s="19" t="s">
        <v>895</v>
      </c>
      <c r="M101" s="19"/>
      <c r="N101" s="19"/>
      <c r="O101" s="19" t="s">
        <v>142</v>
      </c>
      <c r="P101" s="19" t="s">
        <v>143</v>
      </c>
      <c r="Q101" s="19"/>
      <c r="R101" s="19"/>
      <c r="S101" s="19"/>
      <c r="T101" s="19"/>
    </row>
    <row r="102" customFormat="false" ht="23.85" hidden="false" customHeight="false" outlineLevel="0" collapsed="false">
      <c r="A102" s="18" t="s">
        <v>896</v>
      </c>
      <c r="B102" s="18" t="s">
        <v>47</v>
      </c>
      <c r="C102" s="18" t="s">
        <v>60</v>
      </c>
      <c r="D102" s="18" t="s">
        <v>33</v>
      </c>
      <c r="E102" s="18" t="s">
        <v>17</v>
      </c>
      <c r="F102" s="19" t="s">
        <v>897</v>
      </c>
      <c r="G102" s="19"/>
      <c r="H102" s="19" t="s">
        <v>898</v>
      </c>
      <c r="I102" s="19" t="s">
        <v>629</v>
      </c>
      <c r="J102" s="19" t="s">
        <v>899</v>
      </c>
      <c r="K102" s="19" t="s">
        <v>900</v>
      </c>
      <c r="L102" s="19" t="s">
        <v>901</v>
      </c>
      <c r="M102" s="19"/>
      <c r="N102" s="19"/>
      <c r="O102" s="19" t="s">
        <v>142</v>
      </c>
      <c r="P102" s="19" t="s">
        <v>143</v>
      </c>
      <c r="Q102" s="19"/>
      <c r="R102" s="19"/>
      <c r="S102" s="19"/>
      <c r="T102" s="19"/>
    </row>
    <row r="103" customFormat="false" ht="32.8" hidden="false" customHeight="false" outlineLevel="0" collapsed="false">
      <c r="A103" s="18" t="s">
        <v>902</v>
      </c>
      <c r="B103" s="18" t="s">
        <v>47</v>
      </c>
      <c r="C103" s="18" t="s">
        <v>60</v>
      </c>
      <c r="D103" s="18" t="s">
        <v>33</v>
      </c>
      <c r="E103" s="18" t="s">
        <v>17</v>
      </c>
      <c r="F103" s="19" t="s">
        <v>903</v>
      </c>
      <c r="G103" s="20" t="s">
        <v>904</v>
      </c>
      <c r="H103" s="19" t="s">
        <v>905</v>
      </c>
      <c r="I103" s="19" t="s">
        <v>906</v>
      </c>
      <c r="J103" s="19" t="s">
        <v>907</v>
      </c>
      <c r="K103" s="19" t="s">
        <v>908</v>
      </c>
      <c r="L103" s="19" t="s">
        <v>909</v>
      </c>
      <c r="M103" s="19"/>
      <c r="N103" s="19"/>
      <c r="O103" s="19" t="s">
        <v>142</v>
      </c>
      <c r="P103" s="19" t="s">
        <v>143</v>
      </c>
      <c r="Q103" s="19"/>
      <c r="R103" s="19"/>
      <c r="S103" s="19"/>
      <c r="T103" s="19"/>
    </row>
    <row r="104" customFormat="false" ht="23.85" hidden="false" customHeight="false" outlineLevel="0" collapsed="false">
      <c r="A104" s="18" t="s">
        <v>910</v>
      </c>
      <c r="B104" s="18" t="s">
        <v>47</v>
      </c>
      <c r="C104" s="18" t="s">
        <v>60</v>
      </c>
      <c r="D104" s="18" t="s">
        <v>33</v>
      </c>
      <c r="E104" s="18" t="s">
        <v>19</v>
      </c>
      <c r="F104" s="19" t="s">
        <v>911</v>
      </c>
      <c r="G104" s="19"/>
      <c r="H104" s="19" t="s">
        <v>912</v>
      </c>
      <c r="I104" s="19" t="s">
        <v>913</v>
      </c>
      <c r="J104" s="19" t="s">
        <v>914</v>
      </c>
      <c r="K104" s="19" t="s">
        <v>915</v>
      </c>
      <c r="L104" s="19" t="s">
        <v>916</v>
      </c>
      <c r="M104" s="19"/>
      <c r="N104" s="19"/>
      <c r="O104" s="19" t="s">
        <v>142</v>
      </c>
      <c r="P104" s="19" t="s">
        <v>143</v>
      </c>
      <c r="Q104" s="19"/>
      <c r="R104" s="19"/>
      <c r="S104" s="19"/>
      <c r="T104" s="19"/>
    </row>
    <row r="105" customFormat="false" ht="23.85" hidden="false" customHeight="false" outlineLevel="0" collapsed="false">
      <c r="A105" s="18" t="s">
        <v>917</v>
      </c>
      <c r="B105" s="18" t="s">
        <v>47</v>
      </c>
      <c r="C105" s="18" t="s">
        <v>60</v>
      </c>
      <c r="D105" s="18" t="s">
        <v>34</v>
      </c>
      <c r="E105" s="18" t="s">
        <v>17</v>
      </c>
      <c r="F105" s="19" t="s">
        <v>918</v>
      </c>
      <c r="G105" s="19"/>
      <c r="H105" s="19" t="s">
        <v>919</v>
      </c>
      <c r="I105" s="19" t="s">
        <v>920</v>
      </c>
      <c r="J105" s="19" t="s">
        <v>921</v>
      </c>
      <c r="K105" s="19" t="s">
        <v>922</v>
      </c>
      <c r="L105" s="19" t="s">
        <v>923</v>
      </c>
      <c r="M105" s="19"/>
      <c r="N105" s="19"/>
      <c r="O105" s="19" t="s">
        <v>142</v>
      </c>
      <c r="P105" s="19" t="s">
        <v>143</v>
      </c>
      <c r="Q105" s="19"/>
      <c r="R105" s="19"/>
      <c r="S105" s="19"/>
      <c r="T105" s="19"/>
    </row>
    <row r="106" customFormat="false" ht="35.05" hidden="false" customHeight="false" outlineLevel="0" collapsed="false">
      <c r="A106" s="18" t="s">
        <v>924</v>
      </c>
      <c r="B106" s="18" t="s">
        <v>47</v>
      </c>
      <c r="C106" s="18" t="s">
        <v>60</v>
      </c>
      <c r="D106" s="18" t="s">
        <v>34</v>
      </c>
      <c r="E106" s="18" t="s">
        <v>17</v>
      </c>
      <c r="F106" s="19" t="s">
        <v>925</v>
      </c>
      <c r="G106" s="19"/>
      <c r="H106" s="19" t="s">
        <v>926</v>
      </c>
      <c r="I106" s="19" t="s">
        <v>927</v>
      </c>
      <c r="J106" s="19" t="s">
        <v>928</v>
      </c>
      <c r="K106" s="19" t="s">
        <v>929</v>
      </c>
      <c r="L106" s="19" t="s">
        <v>930</v>
      </c>
      <c r="M106" s="19"/>
      <c r="N106" s="19"/>
      <c r="O106" s="19" t="s">
        <v>142</v>
      </c>
      <c r="P106" s="19" t="s">
        <v>143</v>
      </c>
      <c r="Q106" s="19"/>
      <c r="R106" s="19"/>
      <c r="S106" s="19"/>
      <c r="T106" s="19"/>
    </row>
    <row r="107" customFormat="false" ht="74.6" hidden="false" customHeight="false" outlineLevel="0" collapsed="false">
      <c r="A107" s="18" t="s">
        <v>931</v>
      </c>
      <c r="B107" s="18" t="s">
        <v>47</v>
      </c>
      <c r="C107" s="18" t="s">
        <v>60</v>
      </c>
      <c r="D107" s="18" t="s">
        <v>34</v>
      </c>
      <c r="E107" s="18" t="s">
        <v>17</v>
      </c>
      <c r="F107" s="19" t="s">
        <v>932</v>
      </c>
      <c r="G107" s="20" t="s">
        <v>933</v>
      </c>
      <c r="H107" s="19" t="s">
        <v>934</v>
      </c>
      <c r="I107" s="19" t="s">
        <v>935</v>
      </c>
      <c r="J107" s="19" t="s">
        <v>936</v>
      </c>
      <c r="K107" s="19" t="s">
        <v>937</v>
      </c>
      <c r="L107" s="19" t="s">
        <v>938</v>
      </c>
      <c r="M107" s="19"/>
      <c r="N107" s="19"/>
      <c r="O107" s="19" t="s">
        <v>142</v>
      </c>
      <c r="P107" s="19" t="s">
        <v>143</v>
      </c>
      <c r="Q107" s="19"/>
      <c r="R107" s="19"/>
      <c r="S107" s="19"/>
      <c r="T107" s="19"/>
    </row>
    <row r="108" customFormat="false" ht="35.05" hidden="false" customHeight="false" outlineLevel="0" collapsed="false">
      <c r="A108" s="18" t="s">
        <v>939</v>
      </c>
      <c r="B108" s="18" t="s">
        <v>47</v>
      </c>
      <c r="C108" s="18" t="s">
        <v>60</v>
      </c>
      <c r="D108" s="18" t="s">
        <v>34</v>
      </c>
      <c r="E108" s="18" t="s">
        <v>19</v>
      </c>
      <c r="F108" s="19" t="s">
        <v>940</v>
      </c>
      <c r="G108" s="19"/>
      <c r="H108" s="19" t="s">
        <v>941</v>
      </c>
      <c r="I108" s="19" t="s">
        <v>942</v>
      </c>
      <c r="J108" s="19" t="s">
        <v>943</v>
      </c>
      <c r="K108" s="19" t="s">
        <v>944</v>
      </c>
      <c r="L108" s="19" t="s">
        <v>945</v>
      </c>
      <c r="M108" s="19"/>
      <c r="N108" s="19"/>
      <c r="O108" s="19" t="s">
        <v>142</v>
      </c>
      <c r="P108" s="19" t="s">
        <v>143</v>
      </c>
      <c r="Q108" s="19"/>
      <c r="R108" s="19"/>
      <c r="S108" s="19"/>
      <c r="T108" s="19"/>
    </row>
    <row r="109" customFormat="false" ht="85.05" hidden="false" customHeight="false" outlineLevel="0" collapsed="false">
      <c r="A109" s="18" t="s">
        <v>946</v>
      </c>
      <c r="B109" s="18" t="s">
        <v>47</v>
      </c>
      <c r="C109" s="18" t="s">
        <v>60</v>
      </c>
      <c r="D109" s="18" t="s">
        <v>35</v>
      </c>
      <c r="E109" s="18" t="s">
        <v>17</v>
      </c>
      <c r="F109" s="19" t="s">
        <v>947</v>
      </c>
      <c r="G109" s="20" t="s">
        <v>948</v>
      </c>
      <c r="H109" s="19" t="s">
        <v>949</v>
      </c>
      <c r="I109" s="19" t="s">
        <v>950</v>
      </c>
      <c r="J109" s="19" t="s">
        <v>951</v>
      </c>
      <c r="K109" s="19" t="s">
        <v>952</v>
      </c>
      <c r="L109" s="19" t="s">
        <v>953</v>
      </c>
      <c r="M109" s="19"/>
      <c r="N109" s="19"/>
      <c r="O109" s="19" t="s">
        <v>142</v>
      </c>
      <c r="P109" s="19" t="s">
        <v>143</v>
      </c>
      <c r="Q109" s="19"/>
      <c r="R109" s="19"/>
      <c r="S109" s="19"/>
      <c r="T109" s="19"/>
    </row>
    <row r="110" customFormat="false" ht="35.05" hidden="false" customHeight="false" outlineLevel="0" collapsed="false">
      <c r="A110" s="18" t="s">
        <v>954</v>
      </c>
      <c r="B110" s="18" t="s">
        <v>47</v>
      </c>
      <c r="C110" s="18" t="s">
        <v>60</v>
      </c>
      <c r="D110" s="18" t="s">
        <v>35</v>
      </c>
      <c r="E110" s="18" t="s">
        <v>17</v>
      </c>
      <c r="F110" s="19" t="s">
        <v>955</v>
      </c>
      <c r="G110" s="19"/>
      <c r="H110" s="19" t="s">
        <v>956</v>
      </c>
      <c r="I110" s="19" t="s">
        <v>957</v>
      </c>
      <c r="J110" s="19" t="s">
        <v>958</v>
      </c>
      <c r="K110" s="19" t="s">
        <v>959</v>
      </c>
      <c r="L110" s="19" t="s">
        <v>960</v>
      </c>
      <c r="M110" s="19"/>
      <c r="N110" s="19"/>
      <c r="O110" s="19" t="s">
        <v>142</v>
      </c>
      <c r="P110" s="19" t="s">
        <v>143</v>
      </c>
      <c r="Q110" s="19"/>
      <c r="R110" s="19"/>
      <c r="S110" s="19"/>
      <c r="T110" s="19"/>
    </row>
    <row r="111" customFormat="false" ht="23.85" hidden="false" customHeight="false" outlineLevel="0" collapsed="false">
      <c r="A111" s="18" t="s">
        <v>961</v>
      </c>
      <c r="B111" s="18" t="s">
        <v>47</v>
      </c>
      <c r="C111" s="18" t="s">
        <v>60</v>
      </c>
      <c r="D111" s="18" t="s">
        <v>35</v>
      </c>
      <c r="E111" s="18" t="s">
        <v>17</v>
      </c>
      <c r="F111" s="19" t="s">
        <v>962</v>
      </c>
      <c r="G111" s="19"/>
      <c r="H111" s="19" t="s">
        <v>963</v>
      </c>
      <c r="I111" s="19" t="s">
        <v>964</v>
      </c>
      <c r="J111" s="19" t="s">
        <v>554</v>
      </c>
      <c r="K111" s="19" t="s">
        <v>965</v>
      </c>
      <c r="L111" s="19" t="s">
        <v>966</v>
      </c>
      <c r="M111" s="19"/>
      <c r="N111" s="19"/>
      <c r="O111" s="19" t="s">
        <v>142</v>
      </c>
      <c r="P111" s="19" t="s">
        <v>143</v>
      </c>
      <c r="Q111" s="19"/>
      <c r="R111" s="19"/>
      <c r="S111" s="19"/>
      <c r="T111" s="19"/>
    </row>
    <row r="112" customFormat="false" ht="23.85" hidden="false" customHeight="false" outlineLevel="0" collapsed="false">
      <c r="A112" s="18" t="s">
        <v>967</v>
      </c>
      <c r="B112" s="18" t="s">
        <v>47</v>
      </c>
      <c r="C112" s="18" t="s">
        <v>60</v>
      </c>
      <c r="D112" s="18" t="s">
        <v>35</v>
      </c>
      <c r="E112" s="18" t="s">
        <v>17</v>
      </c>
      <c r="F112" s="19" t="s">
        <v>968</v>
      </c>
      <c r="G112" s="19"/>
      <c r="H112" s="19" t="s">
        <v>969</v>
      </c>
      <c r="I112" s="19" t="s">
        <v>970</v>
      </c>
      <c r="J112" s="19" t="s">
        <v>971</v>
      </c>
      <c r="K112" s="19" t="s">
        <v>972</v>
      </c>
      <c r="L112" s="19" t="s">
        <v>973</v>
      </c>
      <c r="M112" s="19"/>
      <c r="N112" s="19"/>
      <c r="O112" s="19" t="s">
        <v>142</v>
      </c>
      <c r="P112" s="19" t="s">
        <v>143</v>
      </c>
      <c r="Q112" s="19"/>
      <c r="R112" s="19"/>
      <c r="S112" s="19"/>
      <c r="T112" s="19"/>
    </row>
    <row r="113" customFormat="false" ht="74.6" hidden="false" customHeight="false" outlineLevel="0" collapsed="false">
      <c r="A113" s="18" t="s">
        <v>974</v>
      </c>
      <c r="B113" s="18" t="s">
        <v>47</v>
      </c>
      <c r="C113" s="18" t="s">
        <v>62</v>
      </c>
      <c r="D113" s="18" t="s">
        <v>33</v>
      </c>
      <c r="E113" s="18" t="s">
        <v>17</v>
      </c>
      <c r="F113" s="19" t="s">
        <v>975</v>
      </c>
      <c r="G113" s="20" t="s">
        <v>976</v>
      </c>
      <c r="H113" s="19" t="s">
        <v>977</v>
      </c>
      <c r="I113" s="19" t="s">
        <v>978</v>
      </c>
      <c r="J113" s="19" t="s">
        <v>979</v>
      </c>
      <c r="K113" s="19" t="s">
        <v>980</v>
      </c>
      <c r="L113" s="19" t="s">
        <v>981</v>
      </c>
      <c r="M113" s="19"/>
      <c r="N113" s="19"/>
      <c r="O113" s="19" t="s">
        <v>142</v>
      </c>
      <c r="P113" s="19" t="s">
        <v>143</v>
      </c>
      <c r="Q113" s="19"/>
      <c r="R113" s="19"/>
      <c r="S113" s="19"/>
      <c r="T113" s="19"/>
    </row>
    <row r="114" customFormat="false" ht="23.85" hidden="false" customHeight="false" outlineLevel="0" collapsed="false">
      <c r="A114" s="18" t="s">
        <v>982</v>
      </c>
      <c r="B114" s="18" t="s">
        <v>47</v>
      </c>
      <c r="C114" s="18" t="s">
        <v>62</v>
      </c>
      <c r="D114" s="18" t="s">
        <v>33</v>
      </c>
      <c r="E114" s="18" t="s">
        <v>17</v>
      </c>
      <c r="F114" s="19" t="s">
        <v>983</v>
      </c>
      <c r="G114" s="19"/>
      <c r="H114" s="19" t="s">
        <v>984</v>
      </c>
      <c r="I114" s="19" t="s">
        <v>985</v>
      </c>
      <c r="J114" s="19" t="s">
        <v>986</v>
      </c>
      <c r="K114" s="19" t="s">
        <v>987</v>
      </c>
      <c r="L114" s="19" t="s">
        <v>988</v>
      </c>
      <c r="M114" s="19"/>
      <c r="N114" s="19"/>
      <c r="O114" s="19" t="s">
        <v>142</v>
      </c>
      <c r="P114" s="19" t="s">
        <v>143</v>
      </c>
      <c r="Q114" s="19"/>
      <c r="R114" s="19"/>
      <c r="S114" s="19"/>
      <c r="T114" s="19"/>
    </row>
    <row r="115" customFormat="false" ht="23.85" hidden="false" customHeight="false" outlineLevel="0" collapsed="false">
      <c r="A115" s="18" t="s">
        <v>989</v>
      </c>
      <c r="B115" s="18" t="s">
        <v>47</v>
      </c>
      <c r="C115" s="18" t="s">
        <v>62</v>
      </c>
      <c r="D115" s="18" t="s">
        <v>33</v>
      </c>
      <c r="E115" s="18" t="s">
        <v>19</v>
      </c>
      <c r="F115" s="19" t="s">
        <v>990</v>
      </c>
      <c r="G115" s="19"/>
      <c r="H115" s="19" t="s">
        <v>991</v>
      </c>
      <c r="I115" s="19" t="s">
        <v>992</v>
      </c>
      <c r="J115" s="19" t="s">
        <v>993</v>
      </c>
      <c r="K115" s="19" t="s">
        <v>994</v>
      </c>
      <c r="L115" s="19" t="s">
        <v>995</v>
      </c>
      <c r="M115" s="19"/>
      <c r="N115" s="19"/>
      <c r="O115" s="19" t="s">
        <v>142</v>
      </c>
      <c r="P115" s="19" t="s">
        <v>143</v>
      </c>
      <c r="Q115" s="19"/>
      <c r="R115" s="19"/>
      <c r="S115" s="19"/>
      <c r="T115" s="19"/>
    </row>
    <row r="116" customFormat="false" ht="23.85" hidden="false" customHeight="false" outlineLevel="0" collapsed="false">
      <c r="A116" s="18" t="s">
        <v>996</v>
      </c>
      <c r="B116" s="18" t="s">
        <v>47</v>
      </c>
      <c r="C116" s="18" t="s">
        <v>62</v>
      </c>
      <c r="D116" s="18" t="s">
        <v>33</v>
      </c>
      <c r="E116" s="18" t="s">
        <v>17</v>
      </c>
      <c r="F116" s="19" t="s">
        <v>997</v>
      </c>
      <c r="G116" s="19"/>
      <c r="H116" s="19" t="s">
        <v>998</v>
      </c>
      <c r="I116" s="19" t="s">
        <v>999</v>
      </c>
      <c r="J116" s="19" t="s">
        <v>1000</v>
      </c>
      <c r="K116" s="19" t="s">
        <v>1001</v>
      </c>
      <c r="L116" s="19" t="s">
        <v>1002</v>
      </c>
      <c r="M116" s="19"/>
      <c r="N116" s="19"/>
      <c r="O116" s="19" t="s">
        <v>142</v>
      </c>
      <c r="P116" s="19" t="s">
        <v>143</v>
      </c>
      <c r="Q116" s="19"/>
      <c r="R116" s="19"/>
      <c r="S116" s="19"/>
      <c r="T116" s="19"/>
    </row>
    <row r="117" customFormat="false" ht="64.15" hidden="false" customHeight="false" outlineLevel="0" collapsed="false">
      <c r="A117" s="18" t="s">
        <v>1003</v>
      </c>
      <c r="B117" s="18" t="s">
        <v>47</v>
      </c>
      <c r="C117" s="18" t="s">
        <v>62</v>
      </c>
      <c r="D117" s="18" t="s">
        <v>34</v>
      </c>
      <c r="E117" s="18" t="s">
        <v>17</v>
      </c>
      <c r="F117" s="19" t="s">
        <v>1004</v>
      </c>
      <c r="G117" s="20" t="s">
        <v>1005</v>
      </c>
      <c r="H117" s="19" t="s">
        <v>1006</v>
      </c>
      <c r="I117" s="19" t="s">
        <v>1007</v>
      </c>
      <c r="J117" s="19" t="s">
        <v>1008</v>
      </c>
      <c r="K117" s="19" t="s">
        <v>1009</v>
      </c>
      <c r="L117" s="19" t="s">
        <v>1010</v>
      </c>
      <c r="M117" s="19"/>
      <c r="N117" s="19"/>
      <c r="O117" s="19" t="s">
        <v>142</v>
      </c>
      <c r="P117" s="19" t="s">
        <v>143</v>
      </c>
      <c r="Q117" s="19"/>
      <c r="R117" s="19"/>
      <c r="S117" s="19"/>
      <c r="T117" s="19"/>
    </row>
    <row r="118" customFormat="false" ht="23.85" hidden="false" customHeight="false" outlineLevel="0" collapsed="false">
      <c r="A118" s="18" t="s">
        <v>1011</v>
      </c>
      <c r="B118" s="18" t="s">
        <v>47</v>
      </c>
      <c r="C118" s="18" t="s">
        <v>62</v>
      </c>
      <c r="D118" s="18" t="s">
        <v>34</v>
      </c>
      <c r="E118" s="18" t="s">
        <v>17</v>
      </c>
      <c r="F118" s="19" t="s">
        <v>1012</v>
      </c>
      <c r="G118" s="19"/>
      <c r="H118" s="19" t="s">
        <v>1013</v>
      </c>
      <c r="I118" s="19" t="s">
        <v>1014</v>
      </c>
      <c r="J118" s="19" t="s">
        <v>1015</v>
      </c>
      <c r="K118" s="19" t="s">
        <v>1016</v>
      </c>
      <c r="L118" s="19" t="s">
        <v>1017</v>
      </c>
      <c r="M118" s="19"/>
      <c r="N118" s="19"/>
      <c r="O118" s="19" t="s">
        <v>142</v>
      </c>
      <c r="P118" s="19" t="s">
        <v>143</v>
      </c>
      <c r="Q118" s="19"/>
      <c r="R118" s="19"/>
      <c r="S118" s="19"/>
      <c r="T118" s="19"/>
    </row>
    <row r="119" customFormat="false" ht="35.05" hidden="false" customHeight="false" outlineLevel="0" collapsed="false">
      <c r="A119" s="18" t="s">
        <v>1018</v>
      </c>
      <c r="B119" s="18" t="s">
        <v>47</v>
      </c>
      <c r="C119" s="18" t="s">
        <v>62</v>
      </c>
      <c r="D119" s="18" t="s">
        <v>34</v>
      </c>
      <c r="E119" s="18" t="s">
        <v>17</v>
      </c>
      <c r="F119" s="19" t="s">
        <v>1019</v>
      </c>
      <c r="G119" s="19"/>
      <c r="H119" s="19" t="s">
        <v>1020</v>
      </c>
      <c r="I119" s="19" t="s">
        <v>1021</v>
      </c>
      <c r="J119" s="19" t="s">
        <v>1022</v>
      </c>
      <c r="K119" s="19" t="s">
        <v>1023</v>
      </c>
      <c r="L119" s="19" t="s">
        <v>1024</v>
      </c>
      <c r="M119" s="19"/>
      <c r="N119" s="19"/>
      <c r="O119" s="19" t="s">
        <v>142</v>
      </c>
      <c r="P119" s="19" t="s">
        <v>143</v>
      </c>
      <c r="Q119" s="19"/>
      <c r="R119" s="19"/>
      <c r="S119" s="19"/>
      <c r="T119" s="19"/>
    </row>
    <row r="120" customFormat="false" ht="35.05" hidden="false" customHeight="false" outlineLevel="0" collapsed="false">
      <c r="A120" s="18" t="s">
        <v>1025</v>
      </c>
      <c r="B120" s="18" t="s">
        <v>47</v>
      </c>
      <c r="C120" s="18" t="s">
        <v>62</v>
      </c>
      <c r="D120" s="18" t="s">
        <v>34</v>
      </c>
      <c r="E120" s="18" t="s">
        <v>17</v>
      </c>
      <c r="F120" s="19" t="s">
        <v>1026</v>
      </c>
      <c r="G120" s="19"/>
      <c r="H120" s="19" t="s">
        <v>1027</v>
      </c>
      <c r="I120" s="19" t="s">
        <v>1028</v>
      </c>
      <c r="J120" s="19" t="s">
        <v>1029</v>
      </c>
      <c r="K120" s="19" t="s">
        <v>1030</v>
      </c>
      <c r="L120" s="19" t="s">
        <v>1031</v>
      </c>
      <c r="M120" s="19"/>
      <c r="N120" s="19"/>
      <c r="O120" s="19" t="s">
        <v>142</v>
      </c>
      <c r="P120" s="19" t="s">
        <v>143</v>
      </c>
      <c r="Q120" s="19"/>
      <c r="R120" s="19"/>
      <c r="S120" s="19"/>
      <c r="T120" s="19"/>
    </row>
    <row r="121" customFormat="false" ht="23.85" hidden="false" customHeight="false" outlineLevel="0" collapsed="false">
      <c r="A121" s="18" t="s">
        <v>1032</v>
      </c>
      <c r="B121" s="18" t="s">
        <v>47</v>
      </c>
      <c r="C121" s="18" t="s">
        <v>62</v>
      </c>
      <c r="D121" s="18" t="s">
        <v>35</v>
      </c>
      <c r="E121" s="18" t="s">
        <v>17</v>
      </c>
      <c r="F121" s="19" t="s">
        <v>1033</v>
      </c>
      <c r="G121" s="19"/>
      <c r="H121" s="19" t="s">
        <v>1034</v>
      </c>
      <c r="I121" s="19" t="s">
        <v>1035</v>
      </c>
      <c r="J121" s="19" t="s">
        <v>1036</v>
      </c>
      <c r="K121" s="19" t="s">
        <v>1037</v>
      </c>
      <c r="L121" s="19" t="s">
        <v>1038</v>
      </c>
      <c r="M121" s="19"/>
      <c r="N121" s="19"/>
      <c r="O121" s="19" t="s">
        <v>142</v>
      </c>
      <c r="P121" s="19" t="s">
        <v>143</v>
      </c>
      <c r="Q121" s="19"/>
      <c r="R121" s="19"/>
      <c r="S121" s="19"/>
      <c r="T121" s="19"/>
    </row>
    <row r="122" customFormat="false" ht="23.85" hidden="false" customHeight="false" outlineLevel="0" collapsed="false">
      <c r="A122" s="18" t="s">
        <v>1039</v>
      </c>
      <c r="B122" s="18" t="s">
        <v>47</v>
      </c>
      <c r="C122" s="18" t="s">
        <v>62</v>
      </c>
      <c r="D122" s="18" t="s">
        <v>35</v>
      </c>
      <c r="E122" s="18" t="s">
        <v>17</v>
      </c>
      <c r="F122" s="19" t="s">
        <v>1040</v>
      </c>
      <c r="G122" s="19"/>
      <c r="H122" s="19" t="s">
        <v>1041</v>
      </c>
      <c r="I122" s="19" t="s">
        <v>1042</v>
      </c>
      <c r="J122" s="19" t="s">
        <v>1043</v>
      </c>
      <c r="K122" s="19" t="s">
        <v>1044</v>
      </c>
      <c r="L122" s="19" t="s">
        <v>1045</v>
      </c>
      <c r="M122" s="19"/>
      <c r="N122" s="19"/>
      <c r="O122" s="19" t="s">
        <v>142</v>
      </c>
      <c r="P122" s="19" t="s">
        <v>143</v>
      </c>
      <c r="Q122" s="19"/>
      <c r="R122" s="19"/>
      <c r="S122" s="19"/>
      <c r="T122" s="19"/>
    </row>
    <row r="123" customFormat="false" ht="35.05" hidden="false" customHeight="false" outlineLevel="0" collapsed="false">
      <c r="A123" s="18" t="s">
        <v>1046</v>
      </c>
      <c r="B123" s="18" t="s">
        <v>47</v>
      </c>
      <c r="C123" s="18" t="s">
        <v>62</v>
      </c>
      <c r="D123" s="18" t="s">
        <v>35</v>
      </c>
      <c r="E123" s="18" t="s">
        <v>17</v>
      </c>
      <c r="F123" s="19" t="s">
        <v>1047</v>
      </c>
      <c r="G123" s="19"/>
      <c r="H123" s="19" t="s">
        <v>1048</v>
      </c>
      <c r="I123" s="19" t="s">
        <v>1049</v>
      </c>
      <c r="J123" s="19" t="s">
        <v>1050</v>
      </c>
      <c r="K123" s="19" t="s">
        <v>1051</v>
      </c>
      <c r="L123" s="19" t="s">
        <v>1052</v>
      </c>
      <c r="M123" s="19"/>
      <c r="N123" s="19"/>
      <c r="O123" s="19" t="s">
        <v>142</v>
      </c>
      <c r="P123" s="19" t="s">
        <v>143</v>
      </c>
      <c r="Q123" s="19"/>
      <c r="R123" s="19"/>
      <c r="S123" s="19"/>
      <c r="T123" s="19"/>
    </row>
    <row r="124" customFormat="false" ht="23.85" hidden="false" customHeight="false" outlineLevel="0" collapsed="false">
      <c r="A124" s="18" t="s">
        <v>1053</v>
      </c>
      <c r="B124" s="18" t="s">
        <v>47</v>
      </c>
      <c r="C124" s="18" t="s">
        <v>62</v>
      </c>
      <c r="D124" s="18" t="s">
        <v>35</v>
      </c>
      <c r="E124" s="18" t="s">
        <v>17</v>
      </c>
      <c r="F124" s="19" t="s">
        <v>1054</v>
      </c>
      <c r="G124" s="19"/>
      <c r="H124" s="19" t="s">
        <v>1055</v>
      </c>
      <c r="I124" s="19" t="s">
        <v>1056</v>
      </c>
      <c r="J124" s="19" t="s">
        <v>1057</v>
      </c>
      <c r="K124" s="19" t="s">
        <v>1058</v>
      </c>
      <c r="L124" s="19" t="s">
        <v>1059</v>
      </c>
      <c r="M124" s="19"/>
      <c r="N124" s="19"/>
      <c r="O124" s="19" t="s">
        <v>142</v>
      </c>
      <c r="P124" s="19" t="s">
        <v>143</v>
      </c>
      <c r="Q124" s="19"/>
      <c r="R124" s="19"/>
      <c r="S124" s="19"/>
      <c r="T124" s="19"/>
    </row>
    <row r="125" customFormat="false" ht="23.85" hidden="false" customHeight="false" outlineLevel="0" collapsed="false">
      <c r="A125" s="18" t="s">
        <v>1060</v>
      </c>
      <c r="B125" s="18" t="s">
        <v>47</v>
      </c>
      <c r="C125" s="18" t="s">
        <v>64</v>
      </c>
      <c r="D125" s="18" t="s">
        <v>33</v>
      </c>
      <c r="E125" s="18" t="s">
        <v>17</v>
      </c>
      <c r="F125" s="19" t="s">
        <v>1061</v>
      </c>
      <c r="G125" s="19"/>
      <c r="H125" s="19" t="s">
        <v>1062</v>
      </c>
      <c r="I125" s="19" t="s">
        <v>1063</v>
      </c>
      <c r="J125" s="19" t="s">
        <v>1064</v>
      </c>
      <c r="K125" s="19" t="s">
        <v>1065</v>
      </c>
      <c r="L125" s="19" t="s">
        <v>1066</v>
      </c>
      <c r="M125" s="19"/>
      <c r="N125" s="19"/>
      <c r="O125" s="19" t="s">
        <v>142</v>
      </c>
      <c r="P125" s="19" t="s">
        <v>143</v>
      </c>
      <c r="Q125" s="19"/>
      <c r="R125" s="19"/>
      <c r="S125" s="19"/>
      <c r="T125" s="19"/>
    </row>
    <row r="126" customFormat="false" ht="23.85" hidden="false" customHeight="false" outlineLevel="0" collapsed="false">
      <c r="A126" s="18" t="s">
        <v>1067</v>
      </c>
      <c r="B126" s="18" t="s">
        <v>47</v>
      </c>
      <c r="C126" s="18" t="s">
        <v>64</v>
      </c>
      <c r="D126" s="18" t="s">
        <v>33</v>
      </c>
      <c r="E126" s="18" t="s">
        <v>17</v>
      </c>
      <c r="F126" s="19" t="s">
        <v>1068</v>
      </c>
      <c r="G126" s="19"/>
      <c r="H126" s="19" t="s">
        <v>1069</v>
      </c>
      <c r="I126" s="19" t="s">
        <v>1070</v>
      </c>
      <c r="J126" s="19" t="s">
        <v>1071</v>
      </c>
      <c r="K126" s="19" t="s">
        <v>1072</v>
      </c>
      <c r="L126" s="19" t="s">
        <v>1073</v>
      </c>
      <c r="M126" s="19"/>
      <c r="N126" s="19"/>
      <c r="O126" s="19" t="s">
        <v>142</v>
      </c>
      <c r="P126" s="19" t="s">
        <v>143</v>
      </c>
      <c r="Q126" s="19"/>
      <c r="R126" s="19"/>
      <c r="S126" s="19"/>
      <c r="T126" s="19"/>
    </row>
    <row r="127" customFormat="false" ht="23.85" hidden="false" customHeight="false" outlineLevel="0" collapsed="false">
      <c r="A127" s="18" t="s">
        <v>1074</v>
      </c>
      <c r="B127" s="18" t="s">
        <v>47</v>
      </c>
      <c r="C127" s="18" t="s">
        <v>64</v>
      </c>
      <c r="D127" s="18" t="s">
        <v>33</v>
      </c>
      <c r="E127" s="18" t="s">
        <v>17</v>
      </c>
      <c r="F127" s="19" t="s">
        <v>1075</v>
      </c>
      <c r="G127" s="19"/>
      <c r="H127" s="19" t="s">
        <v>1076</v>
      </c>
      <c r="I127" s="19" t="s">
        <v>1077</v>
      </c>
      <c r="J127" s="19" t="s">
        <v>1078</v>
      </c>
      <c r="K127" s="19" t="s">
        <v>1079</v>
      </c>
      <c r="L127" s="19" t="s">
        <v>1080</v>
      </c>
      <c r="M127" s="19"/>
      <c r="N127" s="19"/>
      <c r="O127" s="19" t="s">
        <v>142</v>
      </c>
      <c r="P127" s="19" t="s">
        <v>143</v>
      </c>
      <c r="Q127" s="19"/>
      <c r="R127" s="19"/>
      <c r="S127" s="19"/>
      <c r="T127" s="19"/>
    </row>
    <row r="128" customFormat="false" ht="23.85" hidden="false" customHeight="false" outlineLevel="0" collapsed="false">
      <c r="A128" s="18" t="s">
        <v>1081</v>
      </c>
      <c r="B128" s="18" t="s">
        <v>47</v>
      </c>
      <c r="C128" s="18" t="s">
        <v>64</v>
      </c>
      <c r="D128" s="18" t="s">
        <v>33</v>
      </c>
      <c r="E128" s="18" t="s">
        <v>19</v>
      </c>
      <c r="F128" s="19" t="s">
        <v>1082</v>
      </c>
      <c r="G128" s="19"/>
      <c r="H128" s="19" t="s">
        <v>1083</v>
      </c>
      <c r="I128" s="19" t="s">
        <v>1084</v>
      </c>
      <c r="J128" s="19" t="s">
        <v>1085</v>
      </c>
      <c r="K128" s="19" t="s">
        <v>1086</v>
      </c>
      <c r="L128" s="19" t="s">
        <v>1087</v>
      </c>
      <c r="M128" s="19"/>
      <c r="N128" s="19"/>
      <c r="O128" s="19" t="s">
        <v>142</v>
      </c>
      <c r="P128" s="19" t="s">
        <v>143</v>
      </c>
      <c r="Q128" s="19"/>
      <c r="R128" s="19"/>
      <c r="S128" s="19"/>
      <c r="T128" s="19"/>
    </row>
    <row r="129" customFormat="false" ht="35.05" hidden="false" customHeight="false" outlineLevel="0" collapsed="false">
      <c r="A129" s="18" t="s">
        <v>1088</v>
      </c>
      <c r="B129" s="18" t="s">
        <v>47</v>
      </c>
      <c r="C129" s="18" t="s">
        <v>64</v>
      </c>
      <c r="D129" s="18" t="s">
        <v>34</v>
      </c>
      <c r="E129" s="18" t="s">
        <v>17</v>
      </c>
      <c r="F129" s="19" t="s">
        <v>1089</v>
      </c>
      <c r="G129" s="19"/>
      <c r="H129" s="19" t="s">
        <v>1090</v>
      </c>
      <c r="I129" s="19" t="s">
        <v>1091</v>
      </c>
      <c r="J129" s="19" t="s">
        <v>1092</v>
      </c>
      <c r="K129" s="19" t="s">
        <v>1093</v>
      </c>
      <c r="L129" s="19" t="s">
        <v>1094</v>
      </c>
      <c r="M129" s="19"/>
      <c r="N129" s="19"/>
      <c r="O129" s="19" t="s">
        <v>142</v>
      </c>
      <c r="P129" s="19" t="s">
        <v>143</v>
      </c>
      <c r="Q129" s="19"/>
      <c r="R129" s="19"/>
      <c r="S129" s="19"/>
      <c r="T129" s="19"/>
    </row>
    <row r="130" customFormat="false" ht="35.05" hidden="false" customHeight="false" outlineLevel="0" collapsed="false">
      <c r="A130" s="18" t="s">
        <v>1095</v>
      </c>
      <c r="B130" s="18" t="s">
        <v>47</v>
      </c>
      <c r="C130" s="18" t="s">
        <v>64</v>
      </c>
      <c r="D130" s="18" t="s">
        <v>34</v>
      </c>
      <c r="E130" s="18" t="s">
        <v>17</v>
      </c>
      <c r="F130" s="19" t="s">
        <v>1096</v>
      </c>
      <c r="G130" s="19"/>
      <c r="H130" s="19" t="s">
        <v>1097</v>
      </c>
      <c r="I130" s="19" t="s">
        <v>1098</v>
      </c>
      <c r="J130" s="19" t="s">
        <v>1099</v>
      </c>
      <c r="K130" s="19" t="s">
        <v>1100</v>
      </c>
      <c r="L130" s="19" t="s">
        <v>1101</v>
      </c>
      <c r="M130" s="19"/>
      <c r="N130" s="19"/>
      <c r="O130" s="19" t="s">
        <v>142</v>
      </c>
      <c r="P130" s="19" t="s">
        <v>143</v>
      </c>
      <c r="Q130" s="19"/>
      <c r="R130" s="19"/>
      <c r="S130" s="19"/>
      <c r="T130" s="19"/>
    </row>
    <row r="131" customFormat="false" ht="23.85" hidden="false" customHeight="false" outlineLevel="0" collapsed="false">
      <c r="A131" s="18" t="s">
        <v>1102</v>
      </c>
      <c r="B131" s="18" t="s">
        <v>47</v>
      </c>
      <c r="C131" s="18" t="s">
        <v>64</v>
      </c>
      <c r="D131" s="18" t="s">
        <v>34</v>
      </c>
      <c r="E131" s="18" t="s">
        <v>17</v>
      </c>
      <c r="F131" s="19" t="s">
        <v>1103</v>
      </c>
      <c r="G131" s="20" t="s">
        <v>1104</v>
      </c>
      <c r="H131" s="19" t="s">
        <v>1105</v>
      </c>
      <c r="I131" s="19" t="s">
        <v>1106</v>
      </c>
      <c r="J131" s="19" t="s">
        <v>1107</v>
      </c>
      <c r="K131" s="19" t="s">
        <v>1108</v>
      </c>
      <c r="L131" s="19" t="s">
        <v>1109</v>
      </c>
      <c r="M131" s="19"/>
      <c r="N131" s="19"/>
      <c r="O131" s="19" t="s">
        <v>142</v>
      </c>
      <c r="P131" s="19" t="s">
        <v>143</v>
      </c>
      <c r="Q131" s="19"/>
      <c r="R131" s="19"/>
      <c r="S131" s="19"/>
      <c r="T131" s="19"/>
    </row>
    <row r="132" customFormat="false" ht="46.25" hidden="false" customHeight="false" outlineLevel="0" collapsed="false">
      <c r="A132" s="18" t="s">
        <v>1110</v>
      </c>
      <c r="B132" s="18" t="s">
        <v>47</v>
      </c>
      <c r="C132" s="18" t="s">
        <v>64</v>
      </c>
      <c r="D132" s="18" t="s">
        <v>34</v>
      </c>
      <c r="E132" s="18" t="s">
        <v>17</v>
      </c>
      <c r="F132" s="19" t="s">
        <v>1111</v>
      </c>
      <c r="G132" s="19"/>
      <c r="H132" s="19" t="s">
        <v>1112</v>
      </c>
      <c r="I132" s="19" t="s">
        <v>1113</v>
      </c>
      <c r="J132" s="19" t="s">
        <v>1114</v>
      </c>
      <c r="K132" s="19" t="s">
        <v>1115</v>
      </c>
      <c r="L132" s="19" t="s">
        <v>1116</v>
      </c>
      <c r="M132" s="19"/>
      <c r="N132" s="19"/>
      <c r="O132" s="19" t="s">
        <v>142</v>
      </c>
      <c r="P132" s="19" t="s">
        <v>143</v>
      </c>
      <c r="Q132" s="19"/>
      <c r="R132" s="19"/>
      <c r="S132" s="19"/>
      <c r="T132" s="19"/>
    </row>
    <row r="133" customFormat="false" ht="35.05" hidden="false" customHeight="false" outlineLevel="0" collapsed="false">
      <c r="A133" s="18" t="s">
        <v>1117</v>
      </c>
      <c r="B133" s="18" t="s">
        <v>47</v>
      </c>
      <c r="C133" s="18" t="s">
        <v>64</v>
      </c>
      <c r="D133" s="18" t="s">
        <v>35</v>
      </c>
      <c r="E133" s="18" t="s">
        <v>17</v>
      </c>
      <c r="F133" s="19" t="s">
        <v>1118</v>
      </c>
      <c r="G133" s="19"/>
      <c r="H133" s="19" t="s">
        <v>1119</v>
      </c>
      <c r="I133" s="19" t="s">
        <v>1120</v>
      </c>
      <c r="J133" s="19" t="s">
        <v>1121</v>
      </c>
      <c r="K133" s="19" t="s">
        <v>1122</v>
      </c>
      <c r="L133" s="19" t="s">
        <v>1123</v>
      </c>
      <c r="M133" s="19"/>
      <c r="N133" s="19"/>
      <c r="O133" s="19" t="s">
        <v>142</v>
      </c>
      <c r="P133" s="19" t="s">
        <v>143</v>
      </c>
      <c r="Q133" s="19"/>
      <c r="R133" s="19"/>
      <c r="S133" s="19"/>
      <c r="T133" s="19"/>
    </row>
    <row r="134" customFormat="false" ht="23.85" hidden="false" customHeight="false" outlineLevel="0" collapsed="false">
      <c r="A134" s="18" t="s">
        <v>1124</v>
      </c>
      <c r="B134" s="18" t="s">
        <v>47</v>
      </c>
      <c r="C134" s="18" t="s">
        <v>64</v>
      </c>
      <c r="D134" s="18" t="s">
        <v>35</v>
      </c>
      <c r="E134" s="18" t="s">
        <v>17</v>
      </c>
      <c r="F134" s="19" t="s">
        <v>1125</v>
      </c>
      <c r="G134" s="19"/>
      <c r="H134" s="19" t="s">
        <v>1126</v>
      </c>
      <c r="I134" s="19" t="s">
        <v>1127</v>
      </c>
      <c r="J134" s="19" t="s">
        <v>1128</v>
      </c>
      <c r="K134" s="19" t="s">
        <v>1129</v>
      </c>
      <c r="L134" s="19" t="s">
        <v>1130</v>
      </c>
      <c r="M134" s="19"/>
      <c r="N134" s="19"/>
      <c r="O134" s="19" t="s">
        <v>142</v>
      </c>
      <c r="P134" s="19" t="s">
        <v>143</v>
      </c>
      <c r="Q134" s="19"/>
      <c r="R134" s="19"/>
      <c r="S134" s="19"/>
      <c r="T134" s="19"/>
    </row>
    <row r="135" customFormat="false" ht="43.25" hidden="false" customHeight="false" outlineLevel="0" collapsed="false">
      <c r="A135" s="18" t="s">
        <v>1131</v>
      </c>
      <c r="B135" s="18" t="s">
        <v>47</v>
      </c>
      <c r="C135" s="18" t="s">
        <v>64</v>
      </c>
      <c r="D135" s="18" t="s">
        <v>35</v>
      </c>
      <c r="E135" s="18" t="s">
        <v>17</v>
      </c>
      <c r="F135" s="19" t="s">
        <v>1132</v>
      </c>
      <c r="G135" s="20" t="s">
        <v>1133</v>
      </c>
      <c r="H135" s="19" t="s">
        <v>1134</v>
      </c>
      <c r="I135" s="19" t="s">
        <v>1135</v>
      </c>
      <c r="J135" s="19" t="s">
        <v>1136</v>
      </c>
      <c r="K135" s="19" t="s">
        <v>1137</v>
      </c>
      <c r="L135" s="19" t="s">
        <v>1138</v>
      </c>
      <c r="M135" s="19"/>
      <c r="N135" s="19"/>
      <c r="O135" s="19" t="s">
        <v>142</v>
      </c>
      <c r="P135" s="19" t="s">
        <v>143</v>
      </c>
      <c r="Q135" s="19"/>
      <c r="R135" s="19"/>
      <c r="S135" s="19"/>
      <c r="T135" s="19"/>
    </row>
    <row r="136" customFormat="false" ht="23.85" hidden="false" customHeight="false" outlineLevel="0" collapsed="false">
      <c r="A136" s="18" t="s">
        <v>1139</v>
      </c>
      <c r="B136" s="18" t="s">
        <v>47</v>
      </c>
      <c r="C136" s="18" t="s">
        <v>64</v>
      </c>
      <c r="D136" s="18" t="s">
        <v>35</v>
      </c>
      <c r="E136" s="18" t="s">
        <v>17</v>
      </c>
      <c r="F136" s="19" t="s">
        <v>1140</v>
      </c>
      <c r="G136" s="19"/>
      <c r="H136" s="19" t="s">
        <v>1141</v>
      </c>
      <c r="I136" s="19" t="s">
        <v>1142</v>
      </c>
      <c r="J136" s="19" t="s">
        <v>1143</v>
      </c>
      <c r="K136" s="19" t="s">
        <v>1144</v>
      </c>
      <c r="L136" s="19" t="s">
        <v>1145</v>
      </c>
      <c r="M136" s="19"/>
      <c r="N136" s="19"/>
      <c r="O136" s="19" t="s">
        <v>142</v>
      </c>
      <c r="P136" s="19" t="s">
        <v>143</v>
      </c>
      <c r="Q136" s="19"/>
      <c r="R136" s="19"/>
      <c r="S136" s="19"/>
      <c r="T136" s="19"/>
    </row>
    <row r="137" customFormat="false" ht="23.85" hidden="false" customHeight="false" outlineLevel="0" collapsed="false">
      <c r="A137" s="18" t="s">
        <v>1146</v>
      </c>
      <c r="B137" s="18" t="s">
        <v>47</v>
      </c>
      <c r="C137" s="18" t="s">
        <v>66</v>
      </c>
      <c r="D137" s="18" t="s">
        <v>33</v>
      </c>
      <c r="E137" s="18" t="s">
        <v>17</v>
      </c>
      <c r="F137" s="19" t="s">
        <v>1147</v>
      </c>
      <c r="G137" s="19"/>
      <c r="H137" s="19" t="s">
        <v>1148</v>
      </c>
      <c r="I137" s="19" t="s">
        <v>1149</v>
      </c>
      <c r="J137" s="19" t="s">
        <v>1150</v>
      </c>
      <c r="K137" s="19" t="s">
        <v>1151</v>
      </c>
      <c r="L137" s="19" t="s">
        <v>1152</v>
      </c>
      <c r="M137" s="19"/>
      <c r="N137" s="19"/>
      <c r="O137" s="19" t="s">
        <v>142</v>
      </c>
      <c r="P137" s="19" t="s">
        <v>143</v>
      </c>
      <c r="Q137" s="19"/>
      <c r="R137" s="19"/>
      <c r="S137" s="19"/>
      <c r="T137" s="19"/>
    </row>
    <row r="138" customFormat="false" ht="35.05" hidden="false" customHeight="false" outlineLevel="0" collapsed="false">
      <c r="A138" s="18" t="s">
        <v>1153</v>
      </c>
      <c r="B138" s="18" t="s">
        <v>47</v>
      </c>
      <c r="C138" s="18" t="s">
        <v>66</v>
      </c>
      <c r="D138" s="18" t="s">
        <v>33</v>
      </c>
      <c r="E138" s="18" t="s">
        <v>17</v>
      </c>
      <c r="F138" s="19" t="s">
        <v>1154</v>
      </c>
      <c r="G138" s="19"/>
      <c r="H138" s="19" t="s">
        <v>1155</v>
      </c>
      <c r="I138" s="19" t="s">
        <v>1156</v>
      </c>
      <c r="J138" s="19" t="s">
        <v>1157</v>
      </c>
      <c r="K138" s="19" t="s">
        <v>1158</v>
      </c>
      <c r="L138" s="19" t="s">
        <v>1159</v>
      </c>
      <c r="M138" s="19"/>
      <c r="N138" s="19"/>
      <c r="O138" s="19" t="s">
        <v>142</v>
      </c>
      <c r="P138" s="19" t="s">
        <v>143</v>
      </c>
      <c r="Q138" s="19"/>
      <c r="R138" s="19"/>
      <c r="S138" s="19"/>
      <c r="T138" s="19"/>
    </row>
    <row r="139" customFormat="false" ht="35.05" hidden="false" customHeight="false" outlineLevel="0" collapsed="false">
      <c r="A139" s="18" t="s">
        <v>1160</v>
      </c>
      <c r="B139" s="18" t="s">
        <v>47</v>
      </c>
      <c r="C139" s="18" t="s">
        <v>66</v>
      </c>
      <c r="D139" s="18" t="s">
        <v>33</v>
      </c>
      <c r="E139" s="18" t="s">
        <v>17</v>
      </c>
      <c r="F139" s="19" t="s">
        <v>1161</v>
      </c>
      <c r="G139" s="19"/>
      <c r="H139" s="19" t="s">
        <v>1162</v>
      </c>
      <c r="I139" s="19" t="s">
        <v>1163</v>
      </c>
      <c r="J139" s="19" t="s">
        <v>1164</v>
      </c>
      <c r="K139" s="19" t="s">
        <v>1165</v>
      </c>
      <c r="L139" s="19" t="s">
        <v>1166</v>
      </c>
      <c r="M139" s="19"/>
      <c r="N139" s="19"/>
      <c r="O139" s="19" t="s">
        <v>142</v>
      </c>
      <c r="P139" s="19" t="s">
        <v>143</v>
      </c>
      <c r="Q139" s="19"/>
      <c r="R139" s="19"/>
      <c r="S139" s="19"/>
      <c r="T139" s="19"/>
    </row>
    <row r="140" customFormat="false" ht="23.85" hidden="false" customHeight="false" outlineLevel="0" collapsed="false">
      <c r="A140" s="18" t="s">
        <v>1167</v>
      </c>
      <c r="B140" s="18" t="s">
        <v>47</v>
      </c>
      <c r="C140" s="18" t="s">
        <v>66</v>
      </c>
      <c r="D140" s="18" t="s">
        <v>33</v>
      </c>
      <c r="E140" s="18" t="s">
        <v>17</v>
      </c>
      <c r="F140" s="19" t="s">
        <v>1168</v>
      </c>
      <c r="G140" s="19"/>
      <c r="H140" s="19" t="s">
        <v>1169</v>
      </c>
      <c r="I140" s="19" t="s">
        <v>1170</v>
      </c>
      <c r="J140" s="19" t="s">
        <v>1171</v>
      </c>
      <c r="K140" s="19" t="s">
        <v>1172</v>
      </c>
      <c r="L140" s="19" t="s">
        <v>1173</v>
      </c>
      <c r="M140" s="19"/>
      <c r="N140" s="19"/>
      <c r="O140" s="19" t="s">
        <v>142</v>
      </c>
      <c r="P140" s="19" t="s">
        <v>143</v>
      </c>
      <c r="Q140" s="19"/>
      <c r="R140" s="19"/>
      <c r="S140" s="19"/>
      <c r="T140" s="19"/>
    </row>
    <row r="141" customFormat="false" ht="95.5" hidden="false" customHeight="false" outlineLevel="0" collapsed="false">
      <c r="A141" s="18" t="s">
        <v>1174</v>
      </c>
      <c r="B141" s="18" t="s">
        <v>47</v>
      </c>
      <c r="C141" s="18" t="s">
        <v>66</v>
      </c>
      <c r="D141" s="18" t="s">
        <v>34</v>
      </c>
      <c r="E141" s="18" t="s">
        <v>17</v>
      </c>
      <c r="F141" s="19" t="s">
        <v>1175</v>
      </c>
      <c r="G141" s="20" t="s">
        <v>1176</v>
      </c>
      <c r="H141" s="19" t="s">
        <v>1177</v>
      </c>
      <c r="I141" s="19" t="s">
        <v>1178</v>
      </c>
      <c r="J141" s="19" t="s">
        <v>1179</v>
      </c>
      <c r="K141" s="19" t="s">
        <v>1180</v>
      </c>
      <c r="L141" s="19" t="s">
        <v>1181</v>
      </c>
      <c r="M141" s="19"/>
      <c r="N141" s="19"/>
      <c r="O141" s="19" t="s">
        <v>142</v>
      </c>
      <c r="P141" s="19" t="s">
        <v>143</v>
      </c>
      <c r="Q141" s="19"/>
      <c r="R141" s="19"/>
      <c r="S141" s="19"/>
      <c r="T141" s="19"/>
    </row>
    <row r="142" customFormat="false" ht="23.85" hidden="false" customHeight="false" outlineLevel="0" collapsed="false">
      <c r="A142" s="18" t="s">
        <v>1182</v>
      </c>
      <c r="B142" s="18" t="s">
        <v>47</v>
      </c>
      <c r="C142" s="18" t="s">
        <v>66</v>
      </c>
      <c r="D142" s="18" t="s">
        <v>34</v>
      </c>
      <c r="E142" s="18" t="s">
        <v>17</v>
      </c>
      <c r="F142" s="19" t="s">
        <v>1183</v>
      </c>
      <c r="G142" s="19"/>
      <c r="H142" s="19" t="s">
        <v>1184</v>
      </c>
      <c r="I142" s="19" t="s">
        <v>1185</v>
      </c>
      <c r="J142" s="19" t="s">
        <v>1186</v>
      </c>
      <c r="K142" s="19" t="s">
        <v>1187</v>
      </c>
      <c r="L142" s="19" t="s">
        <v>1188</v>
      </c>
      <c r="M142" s="19"/>
      <c r="N142" s="19"/>
      <c r="O142" s="19" t="s">
        <v>142</v>
      </c>
      <c r="P142" s="19" t="s">
        <v>143</v>
      </c>
      <c r="Q142" s="19"/>
      <c r="R142" s="19"/>
      <c r="S142" s="19"/>
      <c r="T142" s="19"/>
    </row>
    <row r="143" customFormat="false" ht="35.05" hidden="false" customHeight="false" outlineLevel="0" collapsed="false">
      <c r="A143" s="18" t="s">
        <v>1189</v>
      </c>
      <c r="B143" s="18" t="s">
        <v>47</v>
      </c>
      <c r="C143" s="18" t="s">
        <v>66</v>
      </c>
      <c r="D143" s="18" t="s">
        <v>34</v>
      </c>
      <c r="E143" s="18" t="s">
        <v>17</v>
      </c>
      <c r="F143" s="19" t="s">
        <v>1190</v>
      </c>
      <c r="G143" s="19"/>
      <c r="H143" s="19" t="s">
        <v>1191</v>
      </c>
      <c r="I143" s="19" t="s">
        <v>1192</v>
      </c>
      <c r="J143" s="19" t="s">
        <v>1179</v>
      </c>
      <c r="K143" s="19" t="s">
        <v>1193</v>
      </c>
      <c r="L143" s="19" t="s">
        <v>1194</v>
      </c>
      <c r="M143" s="19"/>
      <c r="N143" s="19"/>
      <c r="O143" s="19" t="s">
        <v>142</v>
      </c>
      <c r="P143" s="19" t="s">
        <v>143</v>
      </c>
      <c r="Q143" s="19"/>
      <c r="R143" s="19"/>
      <c r="S143" s="19"/>
      <c r="T143" s="19"/>
    </row>
    <row r="144" customFormat="false" ht="35.05" hidden="false" customHeight="false" outlineLevel="0" collapsed="false">
      <c r="A144" s="18" t="s">
        <v>1195</v>
      </c>
      <c r="B144" s="18" t="s">
        <v>47</v>
      </c>
      <c r="C144" s="18" t="s">
        <v>66</v>
      </c>
      <c r="D144" s="18" t="s">
        <v>34</v>
      </c>
      <c r="E144" s="18" t="s">
        <v>17</v>
      </c>
      <c r="F144" s="19" t="s">
        <v>1196</v>
      </c>
      <c r="G144" s="19"/>
      <c r="H144" s="19" t="s">
        <v>1197</v>
      </c>
      <c r="I144" s="19" t="s">
        <v>1198</v>
      </c>
      <c r="J144" s="19" t="s">
        <v>1199</v>
      </c>
      <c r="K144" s="19" t="s">
        <v>1200</v>
      </c>
      <c r="L144" s="19" t="s">
        <v>1201</v>
      </c>
      <c r="M144" s="19"/>
      <c r="N144" s="19"/>
      <c r="O144" s="19" t="s">
        <v>142</v>
      </c>
      <c r="P144" s="19" t="s">
        <v>143</v>
      </c>
      <c r="Q144" s="19"/>
      <c r="R144" s="19"/>
      <c r="S144" s="19"/>
      <c r="T144" s="19"/>
    </row>
    <row r="145" customFormat="false" ht="35.05" hidden="false" customHeight="false" outlineLevel="0" collapsed="false">
      <c r="A145" s="18" t="s">
        <v>1202</v>
      </c>
      <c r="B145" s="18" t="s">
        <v>47</v>
      </c>
      <c r="C145" s="18" t="s">
        <v>66</v>
      </c>
      <c r="D145" s="18" t="s">
        <v>35</v>
      </c>
      <c r="E145" s="18" t="s">
        <v>17</v>
      </c>
      <c r="F145" s="19" t="s">
        <v>1203</v>
      </c>
      <c r="G145" s="19"/>
      <c r="H145" s="19" t="s">
        <v>1204</v>
      </c>
      <c r="I145" s="19" t="s">
        <v>1205</v>
      </c>
      <c r="J145" s="19" t="s">
        <v>1206</v>
      </c>
      <c r="K145" s="19" t="s">
        <v>1207</v>
      </c>
      <c r="L145" s="19" t="s">
        <v>1208</v>
      </c>
      <c r="M145" s="19"/>
      <c r="N145" s="19"/>
      <c r="O145" s="19" t="s">
        <v>142</v>
      </c>
      <c r="P145" s="19" t="s">
        <v>143</v>
      </c>
      <c r="Q145" s="19"/>
      <c r="R145" s="19"/>
      <c r="S145" s="19"/>
      <c r="T145" s="19"/>
    </row>
    <row r="146" customFormat="false" ht="23.85" hidden="false" customHeight="false" outlineLevel="0" collapsed="false">
      <c r="A146" s="18" t="s">
        <v>1209</v>
      </c>
      <c r="B146" s="18" t="s">
        <v>47</v>
      </c>
      <c r="C146" s="18" t="s">
        <v>66</v>
      </c>
      <c r="D146" s="18" t="s">
        <v>35</v>
      </c>
      <c r="E146" s="18" t="s">
        <v>17</v>
      </c>
      <c r="F146" s="19" t="s">
        <v>1210</v>
      </c>
      <c r="G146" s="19"/>
      <c r="H146" s="19" t="s">
        <v>1211</v>
      </c>
      <c r="I146" s="19" t="s">
        <v>1212</v>
      </c>
      <c r="J146" s="19" t="s">
        <v>1213</v>
      </c>
      <c r="K146" s="19" t="s">
        <v>1214</v>
      </c>
      <c r="L146" s="19" t="s">
        <v>1215</v>
      </c>
      <c r="M146" s="19"/>
      <c r="N146" s="19"/>
      <c r="O146" s="19" t="s">
        <v>142</v>
      </c>
      <c r="P146" s="19" t="s">
        <v>143</v>
      </c>
      <c r="Q146" s="19"/>
      <c r="R146" s="19"/>
      <c r="S146" s="19"/>
      <c r="T146" s="19"/>
    </row>
    <row r="147" customFormat="false" ht="32.8" hidden="false" customHeight="false" outlineLevel="0" collapsed="false">
      <c r="A147" s="18" t="s">
        <v>1216</v>
      </c>
      <c r="B147" s="18" t="s">
        <v>47</v>
      </c>
      <c r="C147" s="18" t="s">
        <v>66</v>
      </c>
      <c r="D147" s="18" t="s">
        <v>35</v>
      </c>
      <c r="E147" s="18" t="s">
        <v>17</v>
      </c>
      <c r="F147" s="19" t="s">
        <v>1217</v>
      </c>
      <c r="G147" s="20" t="s">
        <v>1218</v>
      </c>
      <c r="H147" s="19" t="s">
        <v>1219</v>
      </c>
      <c r="I147" s="19" t="s">
        <v>1220</v>
      </c>
      <c r="J147" s="19" t="s">
        <v>1221</v>
      </c>
      <c r="K147" s="19" t="s">
        <v>1222</v>
      </c>
      <c r="L147" s="19" t="s">
        <v>1223</v>
      </c>
      <c r="M147" s="19"/>
      <c r="N147" s="19"/>
      <c r="O147" s="19" t="s">
        <v>142</v>
      </c>
      <c r="P147" s="19" t="s">
        <v>143</v>
      </c>
      <c r="Q147" s="19"/>
      <c r="R147" s="19"/>
      <c r="S147" s="19"/>
      <c r="T147" s="19"/>
    </row>
    <row r="148" customFormat="false" ht="35.05" hidden="false" customHeight="false" outlineLevel="0" collapsed="false">
      <c r="A148" s="18" t="s">
        <v>1224</v>
      </c>
      <c r="B148" s="18" t="s">
        <v>47</v>
      </c>
      <c r="C148" s="18" t="s">
        <v>66</v>
      </c>
      <c r="D148" s="18" t="s">
        <v>35</v>
      </c>
      <c r="E148" s="18" t="s">
        <v>17</v>
      </c>
      <c r="F148" s="19" t="s">
        <v>1225</v>
      </c>
      <c r="G148" s="19"/>
      <c r="H148" s="19" t="s">
        <v>1226</v>
      </c>
      <c r="I148" s="19" t="s">
        <v>1227</v>
      </c>
      <c r="J148" s="19" t="s">
        <v>1228</v>
      </c>
      <c r="K148" s="19" t="s">
        <v>1229</v>
      </c>
      <c r="L148" s="19" t="s">
        <v>1230</v>
      </c>
      <c r="M148" s="19"/>
      <c r="N148" s="19"/>
      <c r="O148" s="19" t="s">
        <v>142</v>
      </c>
      <c r="P148" s="19" t="s">
        <v>143</v>
      </c>
      <c r="Q148" s="19"/>
      <c r="R148" s="19"/>
      <c r="S148" s="19"/>
      <c r="T148" s="19"/>
    </row>
    <row r="149" customFormat="false" ht="35.05" hidden="false" customHeight="false" outlineLevel="0" collapsed="false">
      <c r="A149" s="18" t="s">
        <v>1231</v>
      </c>
      <c r="B149" s="18" t="s">
        <v>68</v>
      </c>
      <c r="C149" s="18" t="s">
        <v>69</v>
      </c>
      <c r="D149" s="18" t="s">
        <v>33</v>
      </c>
      <c r="E149" s="18" t="s">
        <v>17</v>
      </c>
      <c r="F149" s="19" t="s">
        <v>1232</v>
      </c>
      <c r="G149" s="19"/>
      <c r="H149" s="19" t="s">
        <v>1233</v>
      </c>
      <c r="I149" s="19" t="s">
        <v>1234</v>
      </c>
      <c r="J149" s="19" t="s">
        <v>1235</v>
      </c>
      <c r="K149" s="19" t="s">
        <v>1236</v>
      </c>
      <c r="L149" s="19" t="s">
        <v>1237</v>
      </c>
      <c r="M149" s="19"/>
      <c r="N149" s="19"/>
      <c r="O149" s="19" t="s">
        <v>142</v>
      </c>
      <c r="P149" s="19" t="s">
        <v>143</v>
      </c>
      <c r="Q149" s="19"/>
      <c r="R149" s="19"/>
      <c r="S149" s="19"/>
      <c r="T149" s="19"/>
    </row>
    <row r="150" customFormat="false" ht="23.85" hidden="false" customHeight="false" outlineLevel="0" collapsed="false">
      <c r="A150" s="18" t="s">
        <v>1238</v>
      </c>
      <c r="B150" s="18" t="s">
        <v>68</v>
      </c>
      <c r="C150" s="18" t="s">
        <v>69</v>
      </c>
      <c r="D150" s="18" t="s">
        <v>33</v>
      </c>
      <c r="E150" s="18" t="s">
        <v>17</v>
      </c>
      <c r="F150" s="19" t="s">
        <v>1239</v>
      </c>
      <c r="G150" s="19"/>
      <c r="H150" s="19" t="s">
        <v>1240</v>
      </c>
      <c r="I150" s="19" t="s">
        <v>1113</v>
      </c>
      <c r="J150" s="19" t="s">
        <v>1241</v>
      </c>
      <c r="K150" s="19" t="s">
        <v>1242</v>
      </c>
      <c r="L150" s="19" t="s">
        <v>1243</v>
      </c>
      <c r="M150" s="19"/>
      <c r="N150" s="19"/>
      <c r="O150" s="19" t="s">
        <v>142</v>
      </c>
      <c r="P150" s="19" t="s">
        <v>143</v>
      </c>
      <c r="Q150" s="19"/>
      <c r="R150" s="19"/>
      <c r="S150" s="19"/>
      <c r="T150" s="19"/>
    </row>
    <row r="151" customFormat="false" ht="23.85" hidden="false" customHeight="false" outlineLevel="0" collapsed="false">
      <c r="A151" s="18" t="s">
        <v>1244</v>
      </c>
      <c r="B151" s="18" t="s">
        <v>68</v>
      </c>
      <c r="C151" s="18" t="s">
        <v>69</v>
      </c>
      <c r="D151" s="18" t="s">
        <v>33</v>
      </c>
      <c r="E151" s="18" t="s">
        <v>19</v>
      </c>
      <c r="F151" s="19" t="s">
        <v>1245</v>
      </c>
      <c r="G151" s="19"/>
      <c r="H151" s="19" t="s">
        <v>657</v>
      </c>
      <c r="I151" s="19" t="s">
        <v>1246</v>
      </c>
      <c r="J151" s="19" t="s">
        <v>1247</v>
      </c>
      <c r="K151" s="19" t="s">
        <v>658</v>
      </c>
      <c r="L151" s="19" t="s">
        <v>1248</v>
      </c>
      <c r="M151" s="19"/>
      <c r="N151" s="19"/>
      <c r="O151" s="19" t="s">
        <v>142</v>
      </c>
      <c r="P151" s="19" t="s">
        <v>143</v>
      </c>
      <c r="Q151" s="19"/>
      <c r="R151" s="19"/>
      <c r="S151" s="19"/>
      <c r="T151" s="19"/>
    </row>
    <row r="152" customFormat="false" ht="53.7" hidden="false" customHeight="false" outlineLevel="0" collapsed="false">
      <c r="A152" s="18" t="s">
        <v>1249</v>
      </c>
      <c r="B152" s="18" t="s">
        <v>68</v>
      </c>
      <c r="C152" s="18" t="s">
        <v>69</v>
      </c>
      <c r="D152" s="18" t="s">
        <v>33</v>
      </c>
      <c r="E152" s="18" t="s">
        <v>17</v>
      </c>
      <c r="F152" s="19" t="s">
        <v>1250</v>
      </c>
      <c r="G152" s="20" t="s">
        <v>1251</v>
      </c>
      <c r="H152" s="19" t="s">
        <v>1252</v>
      </c>
      <c r="I152" s="19" t="s">
        <v>1253</v>
      </c>
      <c r="J152" s="19" t="s">
        <v>398</v>
      </c>
      <c r="K152" s="19" t="s">
        <v>1254</v>
      </c>
      <c r="L152" s="19" t="s">
        <v>1255</v>
      </c>
      <c r="M152" s="19"/>
      <c r="N152" s="19"/>
      <c r="O152" s="19" t="s">
        <v>142</v>
      </c>
      <c r="P152" s="19" t="s">
        <v>143</v>
      </c>
      <c r="Q152" s="19"/>
      <c r="R152" s="19"/>
      <c r="S152" s="19"/>
      <c r="T152" s="19"/>
    </row>
    <row r="153" customFormat="false" ht="35.05" hidden="false" customHeight="false" outlineLevel="0" collapsed="false">
      <c r="A153" s="18" t="s">
        <v>1256</v>
      </c>
      <c r="B153" s="18" t="s">
        <v>68</v>
      </c>
      <c r="C153" s="18" t="s">
        <v>69</v>
      </c>
      <c r="D153" s="18" t="s">
        <v>34</v>
      </c>
      <c r="E153" s="18" t="s">
        <v>17</v>
      </c>
      <c r="F153" s="19" t="s">
        <v>1257</v>
      </c>
      <c r="G153" s="19"/>
      <c r="H153" s="19" t="s">
        <v>1258</v>
      </c>
      <c r="I153" s="19" t="s">
        <v>1259</v>
      </c>
      <c r="J153" s="19" t="s">
        <v>1260</v>
      </c>
      <c r="K153" s="19" t="s">
        <v>1261</v>
      </c>
      <c r="L153" s="19" t="s">
        <v>1262</v>
      </c>
      <c r="M153" s="19"/>
      <c r="N153" s="19"/>
      <c r="O153" s="19" t="s">
        <v>142</v>
      </c>
      <c r="P153" s="19" t="s">
        <v>143</v>
      </c>
      <c r="Q153" s="19"/>
      <c r="R153" s="19"/>
      <c r="S153" s="19"/>
      <c r="T153" s="19"/>
    </row>
    <row r="154" customFormat="false" ht="23.85" hidden="false" customHeight="false" outlineLevel="0" collapsed="false">
      <c r="A154" s="18" t="s">
        <v>1263</v>
      </c>
      <c r="B154" s="18" t="s">
        <v>68</v>
      </c>
      <c r="C154" s="18" t="s">
        <v>69</v>
      </c>
      <c r="D154" s="18" t="s">
        <v>34</v>
      </c>
      <c r="E154" s="18" t="s">
        <v>17</v>
      </c>
      <c r="F154" s="19" t="s">
        <v>1264</v>
      </c>
      <c r="G154" s="19"/>
      <c r="H154" s="19" t="s">
        <v>1265</v>
      </c>
      <c r="I154" s="19" t="s">
        <v>1266</v>
      </c>
      <c r="J154" s="19" t="s">
        <v>1267</v>
      </c>
      <c r="K154" s="19" t="s">
        <v>1268</v>
      </c>
      <c r="L154" s="19" t="s">
        <v>1269</v>
      </c>
      <c r="M154" s="19"/>
      <c r="N154" s="19"/>
      <c r="O154" s="19" t="s">
        <v>142</v>
      </c>
      <c r="P154" s="19" t="s">
        <v>143</v>
      </c>
      <c r="Q154" s="19"/>
      <c r="R154" s="19"/>
      <c r="S154" s="19"/>
      <c r="T154" s="19"/>
    </row>
    <row r="155" customFormat="false" ht="23.85" hidden="false" customHeight="false" outlineLevel="0" collapsed="false">
      <c r="A155" s="18" t="s">
        <v>1270</v>
      </c>
      <c r="B155" s="18" t="s">
        <v>68</v>
      </c>
      <c r="C155" s="18" t="s">
        <v>69</v>
      </c>
      <c r="D155" s="18" t="s">
        <v>34</v>
      </c>
      <c r="E155" s="18" t="s">
        <v>17</v>
      </c>
      <c r="F155" s="19" t="s">
        <v>1271</v>
      </c>
      <c r="G155" s="19"/>
      <c r="H155" s="19" t="s">
        <v>1272</v>
      </c>
      <c r="I155" s="19" t="s">
        <v>1273</v>
      </c>
      <c r="J155" s="19" t="s">
        <v>1274</v>
      </c>
      <c r="K155" s="19" t="s">
        <v>1275</v>
      </c>
      <c r="L155" s="19" t="s">
        <v>1276</v>
      </c>
      <c r="M155" s="19"/>
      <c r="N155" s="19"/>
      <c r="O155" s="19" t="s">
        <v>142</v>
      </c>
      <c r="P155" s="19" t="s">
        <v>143</v>
      </c>
      <c r="Q155" s="19"/>
      <c r="R155" s="19"/>
      <c r="S155" s="19"/>
      <c r="T155" s="19"/>
    </row>
    <row r="156" customFormat="false" ht="74.6" hidden="false" customHeight="false" outlineLevel="0" collapsed="false">
      <c r="A156" s="18" t="s">
        <v>1277</v>
      </c>
      <c r="B156" s="18" t="s">
        <v>68</v>
      </c>
      <c r="C156" s="18" t="s">
        <v>69</v>
      </c>
      <c r="D156" s="18" t="s">
        <v>34</v>
      </c>
      <c r="E156" s="18" t="s">
        <v>17</v>
      </c>
      <c r="F156" s="19" t="s">
        <v>1278</v>
      </c>
      <c r="G156" s="20" t="s">
        <v>1279</v>
      </c>
      <c r="H156" s="19" t="s">
        <v>1280</v>
      </c>
      <c r="I156" s="19" t="s">
        <v>375</v>
      </c>
      <c r="J156" s="19" t="s">
        <v>1281</v>
      </c>
      <c r="K156" s="19" t="s">
        <v>1282</v>
      </c>
      <c r="L156" s="19" t="s">
        <v>1283</v>
      </c>
      <c r="M156" s="19"/>
      <c r="N156" s="19"/>
      <c r="O156" s="19" t="s">
        <v>142</v>
      </c>
      <c r="P156" s="19" t="s">
        <v>143</v>
      </c>
      <c r="Q156" s="19"/>
      <c r="R156" s="19"/>
      <c r="S156" s="19"/>
      <c r="T156" s="19"/>
    </row>
    <row r="157" customFormat="false" ht="35.05" hidden="false" customHeight="false" outlineLevel="0" collapsed="false">
      <c r="A157" s="18" t="s">
        <v>1284</v>
      </c>
      <c r="B157" s="18" t="s">
        <v>68</v>
      </c>
      <c r="C157" s="18" t="s">
        <v>69</v>
      </c>
      <c r="D157" s="18" t="s">
        <v>35</v>
      </c>
      <c r="E157" s="18" t="s">
        <v>17</v>
      </c>
      <c r="F157" s="19" t="s">
        <v>1285</v>
      </c>
      <c r="G157" s="19"/>
      <c r="H157" s="19" t="s">
        <v>1286</v>
      </c>
      <c r="I157" s="19" t="s">
        <v>1287</v>
      </c>
      <c r="J157" s="19" t="s">
        <v>1288</v>
      </c>
      <c r="K157" s="19" t="s">
        <v>1289</v>
      </c>
      <c r="L157" s="19" t="s">
        <v>1290</v>
      </c>
      <c r="M157" s="19"/>
      <c r="N157" s="19"/>
      <c r="O157" s="19" t="s">
        <v>142</v>
      </c>
      <c r="P157" s="19" t="s">
        <v>143</v>
      </c>
      <c r="Q157" s="19"/>
      <c r="R157" s="19"/>
      <c r="S157" s="19"/>
      <c r="T157" s="19"/>
    </row>
    <row r="158" customFormat="false" ht="23.85" hidden="false" customHeight="false" outlineLevel="0" collapsed="false">
      <c r="A158" s="18" t="s">
        <v>1291</v>
      </c>
      <c r="B158" s="18" t="s">
        <v>68</v>
      </c>
      <c r="C158" s="18" t="s">
        <v>69</v>
      </c>
      <c r="D158" s="18" t="s">
        <v>35</v>
      </c>
      <c r="E158" s="18" t="s">
        <v>17</v>
      </c>
      <c r="F158" s="19" t="s">
        <v>1292</v>
      </c>
      <c r="G158" s="19"/>
      <c r="H158" s="19" t="s">
        <v>1293</v>
      </c>
      <c r="I158" s="19" t="s">
        <v>1294</v>
      </c>
      <c r="J158" s="19" t="s">
        <v>1295</v>
      </c>
      <c r="K158" s="19" t="s">
        <v>900</v>
      </c>
      <c r="L158" s="19" t="s">
        <v>1296</v>
      </c>
      <c r="M158" s="19"/>
      <c r="N158" s="19"/>
      <c r="O158" s="19" t="s">
        <v>142</v>
      </c>
      <c r="P158" s="19" t="s">
        <v>143</v>
      </c>
      <c r="Q158" s="19"/>
      <c r="R158" s="19"/>
      <c r="S158" s="19"/>
      <c r="T158" s="19"/>
    </row>
    <row r="159" customFormat="false" ht="35.05" hidden="false" customHeight="false" outlineLevel="0" collapsed="false">
      <c r="A159" s="18" t="s">
        <v>1297</v>
      </c>
      <c r="B159" s="18" t="s">
        <v>68</v>
      </c>
      <c r="C159" s="18" t="s">
        <v>69</v>
      </c>
      <c r="D159" s="18" t="s">
        <v>35</v>
      </c>
      <c r="E159" s="18" t="s">
        <v>17</v>
      </c>
      <c r="F159" s="19" t="s">
        <v>1298</v>
      </c>
      <c r="G159" s="19"/>
      <c r="H159" s="19" t="s">
        <v>1299</v>
      </c>
      <c r="I159" s="19" t="s">
        <v>1300</v>
      </c>
      <c r="J159" s="19" t="s">
        <v>1301</v>
      </c>
      <c r="K159" s="19" t="s">
        <v>1302</v>
      </c>
      <c r="L159" s="19" t="s">
        <v>1303</v>
      </c>
      <c r="M159" s="19"/>
      <c r="N159" s="19"/>
      <c r="O159" s="19" t="s">
        <v>142</v>
      </c>
      <c r="P159" s="19" t="s">
        <v>143</v>
      </c>
      <c r="Q159" s="19"/>
      <c r="R159" s="19"/>
      <c r="S159" s="19"/>
      <c r="T159" s="19"/>
    </row>
    <row r="160" customFormat="false" ht="23.85" hidden="false" customHeight="false" outlineLevel="0" collapsed="false">
      <c r="A160" s="18" t="s">
        <v>1304</v>
      </c>
      <c r="B160" s="18" t="s">
        <v>68</v>
      </c>
      <c r="C160" s="18" t="s">
        <v>69</v>
      </c>
      <c r="D160" s="18" t="s">
        <v>35</v>
      </c>
      <c r="E160" s="18" t="s">
        <v>17</v>
      </c>
      <c r="F160" s="19" t="s">
        <v>1305</v>
      </c>
      <c r="G160" s="20" t="s">
        <v>1306</v>
      </c>
      <c r="H160" s="19" t="s">
        <v>1307</v>
      </c>
      <c r="I160" s="19" t="s">
        <v>1308</v>
      </c>
      <c r="J160" s="19" t="s">
        <v>1309</v>
      </c>
      <c r="K160" s="19" t="s">
        <v>1310</v>
      </c>
      <c r="L160" s="19" t="s">
        <v>1311</v>
      </c>
      <c r="M160" s="19"/>
      <c r="N160" s="19"/>
      <c r="O160" s="19" t="s">
        <v>142</v>
      </c>
      <c r="P160" s="19" t="s">
        <v>143</v>
      </c>
      <c r="Q160" s="19"/>
      <c r="R160" s="19"/>
      <c r="S160" s="19"/>
      <c r="T160" s="19"/>
    </row>
    <row r="161" customFormat="false" ht="23.85" hidden="false" customHeight="false" outlineLevel="0" collapsed="false">
      <c r="A161" s="18" t="s">
        <v>1312</v>
      </c>
      <c r="B161" s="18" t="s">
        <v>68</v>
      </c>
      <c r="C161" s="18" t="s">
        <v>71</v>
      </c>
      <c r="D161" s="18" t="s">
        <v>33</v>
      </c>
      <c r="E161" s="18" t="s">
        <v>17</v>
      </c>
      <c r="F161" s="19" t="s">
        <v>1313</v>
      </c>
      <c r="G161" s="19"/>
      <c r="H161" s="19" t="s">
        <v>1314</v>
      </c>
      <c r="I161" s="19" t="s">
        <v>1315</v>
      </c>
      <c r="J161" s="19" t="s">
        <v>1316</v>
      </c>
      <c r="K161" s="19" t="s">
        <v>1317</v>
      </c>
      <c r="L161" s="19" t="s">
        <v>1318</v>
      </c>
      <c r="M161" s="19"/>
      <c r="N161" s="19"/>
      <c r="O161" s="19" t="s">
        <v>142</v>
      </c>
      <c r="P161" s="19" t="s">
        <v>143</v>
      </c>
      <c r="Q161" s="19"/>
      <c r="R161" s="19"/>
      <c r="S161" s="19"/>
      <c r="T161" s="19"/>
    </row>
    <row r="162" customFormat="false" ht="23.85" hidden="false" customHeight="false" outlineLevel="0" collapsed="false">
      <c r="A162" s="18" t="s">
        <v>1319</v>
      </c>
      <c r="B162" s="18" t="s">
        <v>68</v>
      </c>
      <c r="C162" s="18" t="s">
        <v>71</v>
      </c>
      <c r="D162" s="18" t="s">
        <v>33</v>
      </c>
      <c r="E162" s="18" t="s">
        <v>17</v>
      </c>
      <c r="F162" s="19" t="s">
        <v>1320</v>
      </c>
      <c r="G162" s="19"/>
      <c r="H162" s="19" t="s">
        <v>1321</v>
      </c>
      <c r="I162" s="19" t="s">
        <v>1322</v>
      </c>
      <c r="J162" s="19" t="s">
        <v>1323</v>
      </c>
      <c r="K162" s="19" t="s">
        <v>1324</v>
      </c>
      <c r="L162" s="19" t="s">
        <v>1325</v>
      </c>
      <c r="M162" s="19"/>
      <c r="N162" s="19"/>
      <c r="O162" s="19" t="s">
        <v>142</v>
      </c>
      <c r="P162" s="19" t="s">
        <v>143</v>
      </c>
      <c r="Q162" s="19"/>
      <c r="R162" s="19"/>
      <c r="S162" s="19"/>
      <c r="T162" s="19"/>
    </row>
    <row r="163" customFormat="false" ht="23.85" hidden="false" customHeight="false" outlineLevel="0" collapsed="false">
      <c r="A163" s="18" t="s">
        <v>1326</v>
      </c>
      <c r="B163" s="18" t="s">
        <v>68</v>
      </c>
      <c r="C163" s="18" t="s">
        <v>71</v>
      </c>
      <c r="D163" s="18" t="s">
        <v>33</v>
      </c>
      <c r="E163" s="18" t="s">
        <v>19</v>
      </c>
      <c r="F163" s="19" t="s">
        <v>1327</v>
      </c>
      <c r="G163" s="19"/>
      <c r="H163" s="19" t="s">
        <v>1328</v>
      </c>
      <c r="I163" s="19" t="s">
        <v>1329</v>
      </c>
      <c r="J163" s="19" t="s">
        <v>1330</v>
      </c>
      <c r="K163" s="19" t="s">
        <v>1331</v>
      </c>
      <c r="L163" s="19" t="s">
        <v>1332</v>
      </c>
      <c r="M163" s="19"/>
      <c r="N163" s="19"/>
      <c r="O163" s="19" t="s">
        <v>142</v>
      </c>
      <c r="P163" s="19" t="s">
        <v>143</v>
      </c>
      <c r="Q163" s="19"/>
      <c r="R163" s="19"/>
      <c r="S163" s="19"/>
      <c r="T163" s="19"/>
    </row>
    <row r="164" customFormat="false" ht="32.8" hidden="false" customHeight="false" outlineLevel="0" collapsed="false">
      <c r="A164" s="18" t="s">
        <v>1333</v>
      </c>
      <c r="B164" s="18" t="s">
        <v>68</v>
      </c>
      <c r="C164" s="18" t="s">
        <v>71</v>
      </c>
      <c r="D164" s="18" t="s">
        <v>33</v>
      </c>
      <c r="E164" s="18" t="s">
        <v>17</v>
      </c>
      <c r="F164" s="19" t="s">
        <v>1334</v>
      </c>
      <c r="G164" s="20" t="s">
        <v>1335</v>
      </c>
      <c r="H164" s="19" t="s">
        <v>1336</v>
      </c>
      <c r="I164" s="19" t="s">
        <v>1337</v>
      </c>
      <c r="J164" s="19" t="s">
        <v>1322</v>
      </c>
      <c r="K164" s="19" t="s">
        <v>1338</v>
      </c>
      <c r="L164" s="19" t="s">
        <v>1339</v>
      </c>
      <c r="M164" s="19"/>
      <c r="N164" s="19"/>
      <c r="O164" s="19" t="s">
        <v>142</v>
      </c>
      <c r="P164" s="19" t="s">
        <v>143</v>
      </c>
      <c r="Q164" s="19"/>
      <c r="R164" s="19"/>
      <c r="S164" s="19"/>
      <c r="T164" s="19"/>
    </row>
    <row r="165" customFormat="false" ht="35.05" hidden="false" customHeight="false" outlineLevel="0" collapsed="false">
      <c r="A165" s="18" t="s">
        <v>1340</v>
      </c>
      <c r="B165" s="18" t="s">
        <v>68</v>
      </c>
      <c r="C165" s="18" t="s">
        <v>71</v>
      </c>
      <c r="D165" s="18" t="s">
        <v>34</v>
      </c>
      <c r="E165" s="18" t="s">
        <v>17</v>
      </c>
      <c r="F165" s="19" t="s">
        <v>1341</v>
      </c>
      <c r="G165" s="19"/>
      <c r="H165" s="19" t="s">
        <v>1342</v>
      </c>
      <c r="I165" s="19" t="s">
        <v>1343</v>
      </c>
      <c r="J165" s="19" t="s">
        <v>1344</v>
      </c>
      <c r="K165" s="19" t="s">
        <v>1345</v>
      </c>
      <c r="L165" s="19" t="s">
        <v>1346</v>
      </c>
      <c r="M165" s="19"/>
      <c r="N165" s="19"/>
      <c r="O165" s="19" t="s">
        <v>142</v>
      </c>
      <c r="P165" s="19" t="s">
        <v>143</v>
      </c>
      <c r="Q165" s="19"/>
      <c r="R165" s="19"/>
      <c r="S165" s="19"/>
      <c r="T165" s="19"/>
    </row>
    <row r="166" customFormat="false" ht="23.85" hidden="false" customHeight="false" outlineLevel="0" collapsed="false">
      <c r="A166" s="18" t="s">
        <v>1347</v>
      </c>
      <c r="B166" s="18" t="s">
        <v>68</v>
      </c>
      <c r="C166" s="18" t="s">
        <v>71</v>
      </c>
      <c r="D166" s="18" t="s">
        <v>34</v>
      </c>
      <c r="E166" s="18" t="s">
        <v>17</v>
      </c>
      <c r="F166" s="19" t="s">
        <v>1348</v>
      </c>
      <c r="G166" s="19"/>
      <c r="H166" s="19" t="s">
        <v>1349</v>
      </c>
      <c r="I166" s="19" t="s">
        <v>1113</v>
      </c>
      <c r="J166" s="19" t="s">
        <v>1350</v>
      </c>
      <c r="K166" s="19" t="s">
        <v>1351</v>
      </c>
      <c r="L166" s="19" t="s">
        <v>1352</v>
      </c>
      <c r="M166" s="19"/>
      <c r="N166" s="19"/>
      <c r="O166" s="19" t="s">
        <v>142</v>
      </c>
      <c r="P166" s="19" t="s">
        <v>143</v>
      </c>
      <c r="Q166" s="19"/>
      <c r="R166" s="19"/>
      <c r="S166" s="19"/>
      <c r="T166" s="19"/>
    </row>
    <row r="167" customFormat="false" ht="35.05" hidden="false" customHeight="false" outlineLevel="0" collapsed="false">
      <c r="A167" s="18" t="s">
        <v>1353</v>
      </c>
      <c r="B167" s="18" t="s">
        <v>68</v>
      </c>
      <c r="C167" s="18" t="s">
        <v>71</v>
      </c>
      <c r="D167" s="18" t="s">
        <v>34</v>
      </c>
      <c r="E167" s="18" t="s">
        <v>17</v>
      </c>
      <c r="F167" s="19" t="s">
        <v>1354</v>
      </c>
      <c r="G167" s="19"/>
      <c r="H167" s="19" t="s">
        <v>1355</v>
      </c>
      <c r="I167" s="19" t="s">
        <v>1356</v>
      </c>
      <c r="J167" s="19" t="s">
        <v>1357</v>
      </c>
      <c r="K167" s="19" t="s">
        <v>1358</v>
      </c>
      <c r="L167" s="19" t="s">
        <v>1359</v>
      </c>
      <c r="M167" s="19"/>
      <c r="N167" s="19"/>
      <c r="O167" s="19" t="s">
        <v>142</v>
      </c>
      <c r="P167" s="19" t="s">
        <v>143</v>
      </c>
      <c r="Q167" s="19"/>
      <c r="R167" s="19"/>
      <c r="S167" s="19"/>
      <c r="T167" s="19"/>
    </row>
    <row r="168" customFormat="false" ht="43.25" hidden="false" customHeight="false" outlineLevel="0" collapsed="false">
      <c r="A168" s="18" t="s">
        <v>1360</v>
      </c>
      <c r="B168" s="18" t="s">
        <v>68</v>
      </c>
      <c r="C168" s="18" t="s">
        <v>71</v>
      </c>
      <c r="D168" s="18" t="s">
        <v>34</v>
      </c>
      <c r="E168" s="18" t="s">
        <v>17</v>
      </c>
      <c r="F168" s="19" t="s">
        <v>1361</v>
      </c>
      <c r="G168" s="20" t="s">
        <v>1362</v>
      </c>
      <c r="H168" s="19" t="s">
        <v>1363</v>
      </c>
      <c r="I168" s="19" t="s">
        <v>1364</v>
      </c>
      <c r="J168" s="19" t="s">
        <v>1365</v>
      </c>
      <c r="K168" s="19" t="s">
        <v>399</v>
      </c>
      <c r="L168" s="19" t="s">
        <v>1366</v>
      </c>
      <c r="M168" s="19"/>
      <c r="N168" s="19"/>
      <c r="O168" s="19" t="s">
        <v>142</v>
      </c>
      <c r="P168" s="19" t="s">
        <v>143</v>
      </c>
      <c r="Q168" s="19"/>
      <c r="R168" s="19"/>
      <c r="S168" s="19"/>
      <c r="T168" s="19"/>
    </row>
    <row r="169" customFormat="false" ht="35.05" hidden="false" customHeight="false" outlineLevel="0" collapsed="false">
      <c r="A169" s="18" t="s">
        <v>1367</v>
      </c>
      <c r="B169" s="18" t="s">
        <v>68</v>
      </c>
      <c r="C169" s="18" t="s">
        <v>71</v>
      </c>
      <c r="D169" s="18" t="s">
        <v>35</v>
      </c>
      <c r="E169" s="18" t="s">
        <v>17</v>
      </c>
      <c r="F169" s="19" t="s">
        <v>1368</v>
      </c>
      <c r="G169" s="19"/>
      <c r="H169" s="19" t="s">
        <v>1369</v>
      </c>
      <c r="I169" s="19" t="s">
        <v>1370</v>
      </c>
      <c r="J169" s="19" t="s">
        <v>1371</v>
      </c>
      <c r="K169" s="19" t="s">
        <v>1372</v>
      </c>
      <c r="L169" s="19" t="s">
        <v>1373</v>
      </c>
      <c r="M169" s="19"/>
      <c r="N169" s="19"/>
      <c r="O169" s="19" t="s">
        <v>142</v>
      </c>
      <c r="P169" s="19" t="s">
        <v>143</v>
      </c>
      <c r="Q169" s="19"/>
      <c r="R169" s="19"/>
      <c r="S169" s="19"/>
      <c r="T169" s="19"/>
    </row>
    <row r="170" customFormat="false" ht="35.05" hidden="false" customHeight="false" outlineLevel="0" collapsed="false">
      <c r="A170" s="18" t="s">
        <v>1374</v>
      </c>
      <c r="B170" s="18" t="s">
        <v>68</v>
      </c>
      <c r="C170" s="18" t="s">
        <v>71</v>
      </c>
      <c r="D170" s="18" t="s">
        <v>35</v>
      </c>
      <c r="E170" s="18" t="s">
        <v>17</v>
      </c>
      <c r="F170" s="19" t="s">
        <v>1375</v>
      </c>
      <c r="G170" s="19"/>
      <c r="H170" s="19" t="s">
        <v>1376</v>
      </c>
      <c r="I170" s="19" t="s">
        <v>1377</v>
      </c>
      <c r="J170" s="19" t="s">
        <v>1378</v>
      </c>
      <c r="K170" s="19" t="s">
        <v>1379</v>
      </c>
      <c r="L170" s="19" t="s">
        <v>1380</v>
      </c>
      <c r="M170" s="19"/>
      <c r="N170" s="19"/>
      <c r="O170" s="19" t="s">
        <v>142</v>
      </c>
      <c r="P170" s="19" t="s">
        <v>143</v>
      </c>
      <c r="Q170" s="19"/>
      <c r="R170" s="19"/>
      <c r="S170" s="19"/>
      <c r="T170" s="19"/>
    </row>
    <row r="171" customFormat="false" ht="23.85" hidden="false" customHeight="false" outlineLevel="0" collapsed="false">
      <c r="A171" s="18" t="s">
        <v>1381</v>
      </c>
      <c r="B171" s="18" t="s">
        <v>68</v>
      </c>
      <c r="C171" s="18" t="s">
        <v>71</v>
      </c>
      <c r="D171" s="18" t="s">
        <v>35</v>
      </c>
      <c r="E171" s="18" t="s">
        <v>17</v>
      </c>
      <c r="F171" s="19" t="s">
        <v>1382</v>
      </c>
      <c r="G171" s="19"/>
      <c r="H171" s="19" t="s">
        <v>1383</v>
      </c>
      <c r="I171" s="19" t="s">
        <v>1384</v>
      </c>
      <c r="J171" s="19" t="s">
        <v>1385</v>
      </c>
      <c r="K171" s="19" t="s">
        <v>1386</v>
      </c>
      <c r="L171" s="19" t="s">
        <v>1387</v>
      </c>
      <c r="M171" s="19"/>
      <c r="N171" s="19"/>
      <c r="O171" s="19" t="s">
        <v>142</v>
      </c>
      <c r="P171" s="19" t="s">
        <v>143</v>
      </c>
      <c r="Q171" s="19"/>
      <c r="R171" s="19"/>
      <c r="S171" s="19"/>
      <c r="T171" s="19"/>
    </row>
    <row r="172" customFormat="false" ht="53.7" hidden="false" customHeight="false" outlineLevel="0" collapsed="false">
      <c r="A172" s="18" t="s">
        <v>1388</v>
      </c>
      <c r="B172" s="18" t="s">
        <v>68</v>
      </c>
      <c r="C172" s="18" t="s">
        <v>71</v>
      </c>
      <c r="D172" s="18" t="s">
        <v>35</v>
      </c>
      <c r="E172" s="18" t="s">
        <v>17</v>
      </c>
      <c r="F172" s="19" t="s">
        <v>1389</v>
      </c>
      <c r="G172" s="20" t="s">
        <v>1390</v>
      </c>
      <c r="H172" s="19" t="s">
        <v>1391</v>
      </c>
      <c r="I172" s="19" t="s">
        <v>1392</v>
      </c>
      <c r="J172" s="19" t="s">
        <v>1393</v>
      </c>
      <c r="K172" s="19" t="s">
        <v>1394</v>
      </c>
      <c r="L172" s="19" t="s">
        <v>1395</v>
      </c>
      <c r="M172" s="19"/>
      <c r="N172" s="19"/>
      <c r="O172" s="19" t="s">
        <v>142</v>
      </c>
      <c r="P172" s="19" t="s">
        <v>143</v>
      </c>
      <c r="Q172" s="19"/>
      <c r="R172" s="19"/>
      <c r="S172" s="19"/>
      <c r="T172" s="19"/>
    </row>
    <row r="173" customFormat="false" ht="23.85" hidden="false" customHeight="false" outlineLevel="0" collapsed="false">
      <c r="A173" s="18" t="s">
        <v>1396</v>
      </c>
      <c r="B173" s="18" t="s">
        <v>68</v>
      </c>
      <c r="C173" s="18" t="s">
        <v>73</v>
      </c>
      <c r="D173" s="18" t="s">
        <v>33</v>
      </c>
      <c r="E173" s="18" t="s">
        <v>17</v>
      </c>
      <c r="F173" s="19" t="s">
        <v>1397</v>
      </c>
      <c r="G173" s="19"/>
      <c r="H173" s="19" t="s">
        <v>1398</v>
      </c>
      <c r="I173" s="19" t="s">
        <v>1399</v>
      </c>
      <c r="J173" s="19" t="s">
        <v>1400</v>
      </c>
      <c r="K173" s="19" t="s">
        <v>1401</v>
      </c>
      <c r="L173" s="19" t="s">
        <v>1402</v>
      </c>
      <c r="M173" s="19"/>
      <c r="N173" s="19"/>
      <c r="O173" s="19" t="s">
        <v>142</v>
      </c>
      <c r="P173" s="19" t="s">
        <v>143</v>
      </c>
      <c r="Q173" s="19"/>
      <c r="R173" s="19"/>
      <c r="S173" s="19"/>
      <c r="T173" s="19"/>
    </row>
    <row r="174" customFormat="false" ht="23.85" hidden="false" customHeight="false" outlineLevel="0" collapsed="false">
      <c r="A174" s="18" t="s">
        <v>1403</v>
      </c>
      <c r="B174" s="18" t="s">
        <v>68</v>
      </c>
      <c r="C174" s="18" t="s">
        <v>73</v>
      </c>
      <c r="D174" s="18" t="s">
        <v>33</v>
      </c>
      <c r="E174" s="18" t="s">
        <v>19</v>
      </c>
      <c r="F174" s="19" t="s">
        <v>1404</v>
      </c>
      <c r="G174" s="19"/>
      <c r="H174" s="19" t="s">
        <v>1405</v>
      </c>
      <c r="I174" s="19" t="s">
        <v>1406</v>
      </c>
      <c r="J174" s="19" t="s">
        <v>1407</v>
      </c>
      <c r="K174" s="19" t="s">
        <v>1408</v>
      </c>
      <c r="L174" s="19" t="s">
        <v>1409</v>
      </c>
      <c r="M174" s="19"/>
      <c r="N174" s="19"/>
      <c r="O174" s="19" t="s">
        <v>142</v>
      </c>
      <c r="P174" s="19" t="s">
        <v>143</v>
      </c>
      <c r="Q174" s="19"/>
      <c r="R174" s="19"/>
      <c r="S174" s="19"/>
      <c r="T174" s="19"/>
    </row>
    <row r="175" customFormat="false" ht="23.85" hidden="false" customHeight="false" outlineLevel="0" collapsed="false">
      <c r="A175" s="18" t="s">
        <v>1410</v>
      </c>
      <c r="B175" s="18" t="s">
        <v>68</v>
      </c>
      <c r="C175" s="18" t="s">
        <v>73</v>
      </c>
      <c r="D175" s="18" t="s">
        <v>33</v>
      </c>
      <c r="E175" s="18" t="s">
        <v>17</v>
      </c>
      <c r="F175" s="19" t="s">
        <v>1411</v>
      </c>
      <c r="G175" s="19"/>
      <c r="H175" s="19" t="s">
        <v>1412</v>
      </c>
      <c r="I175" s="19" t="s">
        <v>1413</v>
      </c>
      <c r="J175" s="19" t="s">
        <v>1414</v>
      </c>
      <c r="K175" s="19" t="s">
        <v>1415</v>
      </c>
      <c r="L175" s="19" t="s">
        <v>1416</v>
      </c>
      <c r="M175" s="19"/>
      <c r="N175" s="19"/>
      <c r="O175" s="19" t="s">
        <v>142</v>
      </c>
      <c r="P175" s="19" t="s">
        <v>143</v>
      </c>
      <c r="Q175" s="19"/>
      <c r="R175" s="19"/>
      <c r="S175" s="19"/>
      <c r="T175" s="19"/>
    </row>
    <row r="176" customFormat="false" ht="64.15" hidden="false" customHeight="false" outlineLevel="0" collapsed="false">
      <c r="A176" s="18" t="s">
        <v>1417</v>
      </c>
      <c r="B176" s="18" t="s">
        <v>68</v>
      </c>
      <c r="C176" s="18" t="s">
        <v>73</v>
      </c>
      <c r="D176" s="18" t="s">
        <v>33</v>
      </c>
      <c r="E176" s="18" t="s">
        <v>17</v>
      </c>
      <c r="F176" s="19" t="s">
        <v>1418</v>
      </c>
      <c r="G176" s="20" t="s">
        <v>1419</v>
      </c>
      <c r="H176" s="19" t="s">
        <v>1420</v>
      </c>
      <c r="I176" s="19" t="s">
        <v>481</v>
      </c>
      <c r="J176" s="19" t="s">
        <v>1421</v>
      </c>
      <c r="K176" s="19" t="s">
        <v>1422</v>
      </c>
      <c r="L176" s="19" t="s">
        <v>1423</v>
      </c>
      <c r="M176" s="19"/>
      <c r="N176" s="19"/>
      <c r="O176" s="19" t="s">
        <v>142</v>
      </c>
      <c r="P176" s="19" t="s">
        <v>143</v>
      </c>
      <c r="Q176" s="19"/>
      <c r="R176" s="19"/>
      <c r="S176" s="19"/>
      <c r="T176" s="19"/>
    </row>
    <row r="177" customFormat="false" ht="23.85" hidden="false" customHeight="false" outlineLevel="0" collapsed="false">
      <c r="A177" s="18" t="s">
        <v>1424</v>
      </c>
      <c r="B177" s="18" t="s">
        <v>68</v>
      </c>
      <c r="C177" s="18" t="s">
        <v>73</v>
      </c>
      <c r="D177" s="18" t="s">
        <v>34</v>
      </c>
      <c r="E177" s="18" t="s">
        <v>17</v>
      </c>
      <c r="F177" s="19" t="s">
        <v>1425</v>
      </c>
      <c r="G177" s="19"/>
      <c r="H177" s="19" t="s">
        <v>1426</v>
      </c>
      <c r="I177" s="19" t="s">
        <v>1427</v>
      </c>
      <c r="J177" s="19" t="s">
        <v>1236</v>
      </c>
      <c r="K177" s="19" t="s">
        <v>1428</v>
      </c>
      <c r="L177" s="19" t="s">
        <v>1429</v>
      </c>
      <c r="M177" s="19"/>
      <c r="N177" s="19"/>
      <c r="O177" s="19" t="s">
        <v>142</v>
      </c>
      <c r="P177" s="19" t="s">
        <v>143</v>
      </c>
      <c r="Q177" s="19"/>
      <c r="R177" s="19"/>
      <c r="S177" s="19"/>
      <c r="T177" s="19"/>
    </row>
    <row r="178" customFormat="false" ht="35.05" hidden="false" customHeight="false" outlineLevel="0" collapsed="false">
      <c r="A178" s="18" t="s">
        <v>1430</v>
      </c>
      <c r="B178" s="18" t="s">
        <v>68</v>
      </c>
      <c r="C178" s="18" t="s">
        <v>73</v>
      </c>
      <c r="D178" s="18" t="s">
        <v>34</v>
      </c>
      <c r="E178" s="18" t="s">
        <v>17</v>
      </c>
      <c r="F178" s="19" t="s">
        <v>1431</v>
      </c>
      <c r="G178" s="19"/>
      <c r="H178" s="19" t="s">
        <v>1432</v>
      </c>
      <c r="I178" s="19" t="s">
        <v>1433</v>
      </c>
      <c r="J178" s="19" t="s">
        <v>1434</v>
      </c>
      <c r="K178" s="19" t="s">
        <v>1435</v>
      </c>
      <c r="L178" s="19" t="s">
        <v>1436</v>
      </c>
      <c r="M178" s="19"/>
      <c r="N178" s="19"/>
      <c r="O178" s="19" t="s">
        <v>142</v>
      </c>
      <c r="P178" s="19" t="s">
        <v>143</v>
      </c>
      <c r="Q178" s="19"/>
      <c r="R178" s="19"/>
      <c r="S178" s="19"/>
      <c r="T178" s="19"/>
    </row>
    <row r="179" customFormat="false" ht="35.05" hidden="false" customHeight="false" outlineLevel="0" collapsed="false">
      <c r="A179" s="18" t="s">
        <v>1437</v>
      </c>
      <c r="B179" s="18" t="s">
        <v>68</v>
      </c>
      <c r="C179" s="18" t="s">
        <v>73</v>
      </c>
      <c r="D179" s="18" t="s">
        <v>34</v>
      </c>
      <c r="E179" s="18" t="s">
        <v>17</v>
      </c>
      <c r="F179" s="19" t="s">
        <v>1438</v>
      </c>
      <c r="G179" s="19"/>
      <c r="H179" s="19" t="s">
        <v>1439</v>
      </c>
      <c r="I179" s="19" t="s">
        <v>1440</v>
      </c>
      <c r="J179" s="19" t="s">
        <v>1441</v>
      </c>
      <c r="K179" s="19" t="s">
        <v>1442</v>
      </c>
      <c r="L179" s="19" t="s">
        <v>1443</v>
      </c>
      <c r="M179" s="19"/>
      <c r="N179" s="19"/>
      <c r="O179" s="19" t="s">
        <v>142</v>
      </c>
      <c r="P179" s="19" t="s">
        <v>143</v>
      </c>
      <c r="Q179" s="19"/>
      <c r="R179" s="19"/>
      <c r="S179" s="19"/>
      <c r="T179" s="19"/>
    </row>
    <row r="180" customFormat="false" ht="43.25" hidden="false" customHeight="false" outlineLevel="0" collapsed="false">
      <c r="A180" s="18" t="s">
        <v>1444</v>
      </c>
      <c r="B180" s="18" t="s">
        <v>68</v>
      </c>
      <c r="C180" s="18" t="s">
        <v>73</v>
      </c>
      <c r="D180" s="18" t="s">
        <v>34</v>
      </c>
      <c r="E180" s="18" t="s">
        <v>17</v>
      </c>
      <c r="F180" s="19" t="s">
        <v>1445</v>
      </c>
      <c r="G180" s="20" t="s">
        <v>1446</v>
      </c>
      <c r="H180" s="19" t="s">
        <v>1447</v>
      </c>
      <c r="I180" s="19" t="s">
        <v>1448</v>
      </c>
      <c r="J180" s="19" t="s">
        <v>1449</v>
      </c>
      <c r="K180" s="19" t="s">
        <v>1450</v>
      </c>
      <c r="L180" s="19" t="s">
        <v>1451</v>
      </c>
      <c r="M180" s="19"/>
      <c r="N180" s="19"/>
      <c r="O180" s="19" t="s">
        <v>142</v>
      </c>
      <c r="P180" s="19" t="s">
        <v>143</v>
      </c>
      <c r="Q180" s="19"/>
      <c r="R180" s="19"/>
      <c r="S180" s="19"/>
      <c r="T180" s="19"/>
    </row>
    <row r="181" customFormat="false" ht="23.85" hidden="false" customHeight="false" outlineLevel="0" collapsed="false">
      <c r="A181" s="18" t="s">
        <v>1452</v>
      </c>
      <c r="B181" s="18" t="s">
        <v>68</v>
      </c>
      <c r="C181" s="18" t="s">
        <v>73</v>
      </c>
      <c r="D181" s="18" t="s">
        <v>35</v>
      </c>
      <c r="E181" s="18" t="s">
        <v>17</v>
      </c>
      <c r="F181" s="19" t="s">
        <v>1453</v>
      </c>
      <c r="G181" s="19"/>
      <c r="H181" s="19" t="s">
        <v>1454</v>
      </c>
      <c r="I181" s="19" t="s">
        <v>1455</v>
      </c>
      <c r="J181" s="19" t="s">
        <v>1456</v>
      </c>
      <c r="K181" s="19" t="s">
        <v>1457</v>
      </c>
      <c r="L181" s="19" t="s">
        <v>1458</v>
      </c>
      <c r="M181" s="19"/>
      <c r="N181" s="19"/>
      <c r="O181" s="19" t="s">
        <v>142</v>
      </c>
      <c r="P181" s="19" t="s">
        <v>143</v>
      </c>
      <c r="Q181" s="19"/>
      <c r="R181" s="19"/>
      <c r="S181" s="19"/>
      <c r="T181" s="19"/>
    </row>
    <row r="182" customFormat="false" ht="35.05" hidden="false" customHeight="false" outlineLevel="0" collapsed="false">
      <c r="A182" s="18" t="s">
        <v>1459</v>
      </c>
      <c r="B182" s="18" t="s">
        <v>68</v>
      </c>
      <c r="C182" s="18" t="s">
        <v>73</v>
      </c>
      <c r="D182" s="18" t="s">
        <v>35</v>
      </c>
      <c r="E182" s="18" t="s">
        <v>17</v>
      </c>
      <c r="F182" s="19" t="s">
        <v>1460</v>
      </c>
      <c r="G182" s="19"/>
      <c r="H182" s="19" t="s">
        <v>1461</v>
      </c>
      <c r="I182" s="19" t="s">
        <v>1462</v>
      </c>
      <c r="J182" s="19" t="s">
        <v>1463</v>
      </c>
      <c r="K182" s="19" t="s">
        <v>1464</v>
      </c>
      <c r="L182" s="19" t="s">
        <v>1465</v>
      </c>
      <c r="M182" s="19"/>
      <c r="N182" s="19"/>
      <c r="O182" s="19" t="s">
        <v>142</v>
      </c>
      <c r="P182" s="19" t="s">
        <v>143</v>
      </c>
      <c r="Q182" s="19"/>
      <c r="R182" s="19"/>
      <c r="S182" s="19"/>
      <c r="T182" s="19"/>
    </row>
    <row r="183" customFormat="false" ht="23.85" hidden="false" customHeight="false" outlineLevel="0" collapsed="false">
      <c r="A183" s="18" t="s">
        <v>1466</v>
      </c>
      <c r="B183" s="18" t="s">
        <v>68</v>
      </c>
      <c r="C183" s="18" t="s">
        <v>73</v>
      </c>
      <c r="D183" s="18" t="s">
        <v>35</v>
      </c>
      <c r="E183" s="18" t="s">
        <v>17</v>
      </c>
      <c r="F183" s="19" t="s">
        <v>1467</v>
      </c>
      <c r="G183" s="19"/>
      <c r="H183" s="19" t="s">
        <v>1468</v>
      </c>
      <c r="I183" s="19" t="s">
        <v>1469</v>
      </c>
      <c r="J183" s="19" t="s">
        <v>1470</v>
      </c>
      <c r="K183" s="19" t="s">
        <v>1471</v>
      </c>
      <c r="L183" s="19" t="s">
        <v>1472</v>
      </c>
      <c r="M183" s="19"/>
      <c r="N183" s="19"/>
      <c r="O183" s="19" t="s">
        <v>142</v>
      </c>
      <c r="P183" s="19" t="s">
        <v>143</v>
      </c>
      <c r="Q183" s="19"/>
      <c r="R183" s="19"/>
      <c r="S183" s="19"/>
      <c r="T183" s="19"/>
    </row>
    <row r="184" customFormat="false" ht="53.7" hidden="false" customHeight="false" outlineLevel="0" collapsed="false">
      <c r="A184" s="18" t="s">
        <v>1473</v>
      </c>
      <c r="B184" s="18" t="s">
        <v>68</v>
      </c>
      <c r="C184" s="18" t="s">
        <v>73</v>
      </c>
      <c r="D184" s="18" t="s">
        <v>35</v>
      </c>
      <c r="E184" s="18" t="s">
        <v>17</v>
      </c>
      <c r="F184" s="19" t="s">
        <v>1474</v>
      </c>
      <c r="G184" s="20" t="s">
        <v>1475</v>
      </c>
      <c r="H184" s="19" t="s">
        <v>1476</v>
      </c>
      <c r="I184" s="19" t="s">
        <v>1477</v>
      </c>
      <c r="J184" s="19" t="s">
        <v>1478</v>
      </c>
      <c r="K184" s="19" t="s">
        <v>1479</v>
      </c>
      <c r="L184" s="19" t="s">
        <v>1480</v>
      </c>
      <c r="M184" s="19"/>
      <c r="N184" s="19"/>
      <c r="O184" s="19" t="s">
        <v>142</v>
      </c>
      <c r="P184" s="19" t="s">
        <v>143</v>
      </c>
      <c r="Q184" s="19"/>
      <c r="R184" s="19"/>
      <c r="S184" s="19"/>
      <c r="T184" s="19"/>
    </row>
    <row r="185" customFormat="false" ht="23.85" hidden="false" customHeight="false" outlineLevel="0" collapsed="false">
      <c r="A185" s="18" t="s">
        <v>1481</v>
      </c>
      <c r="B185" s="18" t="s">
        <v>68</v>
      </c>
      <c r="C185" s="18" t="s">
        <v>75</v>
      </c>
      <c r="D185" s="18" t="s">
        <v>33</v>
      </c>
      <c r="E185" s="18" t="s">
        <v>17</v>
      </c>
      <c r="F185" s="19" t="s">
        <v>1482</v>
      </c>
      <c r="G185" s="19"/>
      <c r="H185" s="19" t="s">
        <v>1483</v>
      </c>
      <c r="I185" s="19" t="s">
        <v>1484</v>
      </c>
      <c r="J185" s="19" t="s">
        <v>1485</v>
      </c>
      <c r="K185" s="19" t="s">
        <v>1486</v>
      </c>
      <c r="L185" s="19" t="s">
        <v>1487</v>
      </c>
      <c r="M185" s="19"/>
      <c r="N185" s="19"/>
      <c r="O185" s="19" t="s">
        <v>142</v>
      </c>
      <c r="P185" s="19" t="s">
        <v>143</v>
      </c>
      <c r="Q185" s="19"/>
      <c r="R185" s="19"/>
      <c r="S185" s="19"/>
      <c r="T185" s="19"/>
    </row>
    <row r="186" customFormat="false" ht="23.85" hidden="false" customHeight="false" outlineLevel="0" collapsed="false">
      <c r="A186" s="18" t="s">
        <v>1488</v>
      </c>
      <c r="B186" s="18" t="s">
        <v>68</v>
      </c>
      <c r="C186" s="18" t="s">
        <v>75</v>
      </c>
      <c r="D186" s="18" t="s">
        <v>33</v>
      </c>
      <c r="E186" s="18" t="s">
        <v>17</v>
      </c>
      <c r="F186" s="19" t="s">
        <v>1489</v>
      </c>
      <c r="G186" s="19"/>
      <c r="H186" s="19" t="s">
        <v>1490</v>
      </c>
      <c r="I186" s="19" t="s">
        <v>1491</v>
      </c>
      <c r="J186" s="19" t="s">
        <v>1492</v>
      </c>
      <c r="K186" s="19" t="s">
        <v>1493</v>
      </c>
      <c r="L186" s="19" t="s">
        <v>1494</v>
      </c>
      <c r="M186" s="19"/>
      <c r="N186" s="19"/>
      <c r="O186" s="19" t="s">
        <v>142</v>
      </c>
      <c r="P186" s="19" t="s">
        <v>143</v>
      </c>
      <c r="Q186" s="19"/>
      <c r="R186" s="19"/>
      <c r="S186" s="19"/>
      <c r="T186" s="19"/>
    </row>
    <row r="187" customFormat="false" ht="23.85" hidden="false" customHeight="false" outlineLevel="0" collapsed="false">
      <c r="A187" s="18" t="s">
        <v>1495</v>
      </c>
      <c r="B187" s="18" t="s">
        <v>68</v>
      </c>
      <c r="C187" s="18" t="s">
        <v>75</v>
      </c>
      <c r="D187" s="18" t="s">
        <v>33</v>
      </c>
      <c r="E187" s="18" t="s">
        <v>19</v>
      </c>
      <c r="F187" s="19" t="s">
        <v>1496</v>
      </c>
      <c r="G187" s="19"/>
      <c r="H187" s="19" t="s">
        <v>1497</v>
      </c>
      <c r="I187" s="19" t="s">
        <v>1498</v>
      </c>
      <c r="J187" s="19" t="s">
        <v>1499</v>
      </c>
      <c r="K187" s="19" t="s">
        <v>1500</v>
      </c>
      <c r="L187" s="19" t="s">
        <v>1501</v>
      </c>
      <c r="M187" s="19"/>
      <c r="N187" s="19"/>
      <c r="O187" s="19" t="s">
        <v>142</v>
      </c>
      <c r="P187" s="19" t="s">
        <v>143</v>
      </c>
      <c r="Q187" s="19"/>
      <c r="R187" s="19"/>
      <c r="S187" s="19"/>
      <c r="T187" s="19"/>
    </row>
    <row r="188" customFormat="false" ht="32.8" hidden="false" customHeight="false" outlineLevel="0" collapsed="false">
      <c r="A188" s="18" t="s">
        <v>1502</v>
      </c>
      <c r="B188" s="18" t="s">
        <v>68</v>
      </c>
      <c r="C188" s="18" t="s">
        <v>75</v>
      </c>
      <c r="D188" s="18" t="s">
        <v>33</v>
      </c>
      <c r="E188" s="18" t="s">
        <v>17</v>
      </c>
      <c r="F188" s="19" t="s">
        <v>1503</v>
      </c>
      <c r="G188" s="20" t="s">
        <v>1504</v>
      </c>
      <c r="H188" s="19" t="s">
        <v>1505</v>
      </c>
      <c r="I188" s="19" t="s">
        <v>1506</v>
      </c>
      <c r="J188" s="19" t="s">
        <v>1324</v>
      </c>
      <c r="K188" s="19" t="s">
        <v>1507</v>
      </c>
      <c r="L188" s="19" t="s">
        <v>1508</v>
      </c>
      <c r="M188" s="19"/>
      <c r="N188" s="19"/>
      <c r="O188" s="19" t="s">
        <v>142</v>
      </c>
      <c r="P188" s="19" t="s">
        <v>143</v>
      </c>
      <c r="Q188" s="19"/>
      <c r="R188" s="19"/>
      <c r="S188" s="19"/>
      <c r="T188" s="19"/>
    </row>
    <row r="189" customFormat="false" ht="23.85" hidden="false" customHeight="false" outlineLevel="0" collapsed="false">
      <c r="A189" s="18" t="s">
        <v>1509</v>
      </c>
      <c r="B189" s="18" t="s">
        <v>68</v>
      </c>
      <c r="C189" s="18" t="s">
        <v>75</v>
      </c>
      <c r="D189" s="18" t="s">
        <v>34</v>
      </c>
      <c r="E189" s="18" t="s">
        <v>17</v>
      </c>
      <c r="F189" s="19" t="s">
        <v>1510</v>
      </c>
      <c r="G189" s="19"/>
      <c r="H189" s="19" t="s">
        <v>1511</v>
      </c>
      <c r="I189" s="19" t="s">
        <v>1512</v>
      </c>
      <c r="J189" s="19" t="s">
        <v>1513</v>
      </c>
      <c r="K189" s="19" t="s">
        <v>1514</v>
      </c>
      <c r="L189" s="19" t="s">
        <v>1515</v>
      </c>
      <c r="M189" s="19"/>
      <c r="N189" s="19"/>
      <c r="O189" s="19" t="s">
        <v>142</v>
      </c>
      <c r="P189" s="19" t="s">
        <v>143</v>
      </c>
      <c r="Q189" s="19"/>
      <c r="R189" s="19"/>
      <c r="S189" s="19"/>
      <c r="T189" s="19"/>
    </row>
    <row r="190" customFormat="false" ht="23.85" hidden="false" customHeight="false" outlineLevel="0" collapsed="false">
      <c r="A190" s="18" t="s">
        <v>1516</v>
      </c>
      <c r="B190" s="18" t="s">
        <v>68</v>
      </c>
      <c r="C190" s="18" t="s">
        <v>75</v>
      </c>
      <c r="D190" s="18" t="s">
        <v>34</v>
      </c>
      <c r="E190" s="18" t="s">
        <v>17</v>
      </c>
      <c r="F190" s="19" t="s">
        <v>1517</v>
      </c>
      <c r="G190" s="19"/>
      <c r="H190" s="19" t="s">
        <v>1518</v>
      </c>
      <c r="I190" s="19" t="s">
        <v>1519</v>
      </c>
      <c r="J190" s="19" t="s">
        <v>1520</v>
      </c>
      <c r="K190" s="19" t="s">
        <v>1521</v>
      </c>
      <c r="L190" s="19" t="s">
        <v>1522</v>
      </c>
      <c r="M190" s="19"/>
      <c r="N190" s="19"/>
      <c r="O190" s="19" t="s">
        <v>142</v>
      </c>
      <c r="P190" s="19" t="s">
        <v>143</v>
      </c>
      <c r="Q190" s="19"/>
      <c r="R190" s="19"/>
      <c r="S190" s="19"/>
      <c r="T190" s="19"/>
    </row>
    <row r="191" customFormat="false" ht="23.85" hidden="false" customHeight="false" outlineLevel="0" collapsed="false">
      <c r="A191" s="18" t="s">
        <v>1523</v>
      </c>
      <c r="B191" s="18" t="s">
        <v>68</v>
      </c>
      <c r="C191" s="18" t="s">
        <v>75</v>
      </c>
      <c r="D191" s="18" t="s">
        <v>34</v>
      </c>
      <c r="E191" s="18" t="s">
        <v>17</v>
      </c>
      <c r="F191" s="19" t="s">
        <v>1524</v>
      </c>
      <c r="G191" s="19"/>
      <c r="H191" s="19" t="s">
        <v>1525</v>
      </c>
      <c r="I191" s="19" t="s">
        <v>1526</v>
      </c>
      <c r="J191" s="19" t="s">
        <v>1527</v>
      </c>
      <c r="K191" s="19" t="s">
        <v>1528</v>
      </c>
      <c r="L191" s="19" t="s">
        <v>1529</v>
      </c>
      <c r="M191" s="19"/>
      <c r="N191" s="19"/>
      <c r="O191" s="19" t="s">
        <v>142</v>
      </c>
      <c r="P191" s="19" t="s">
        <v>143</v>
      </c>
      <c r="Q191" s="19"/>
      <c r="R191" s="19"/>
      <c r="S191" s="19"/>
      <c r="T191" s="19"/>
    </row>
    <row r="192" customFormat="false" ht="43.25" hidden="false" customHeight="false" outlineLevel="0" collapsed="false">
      <c r="A192" s="18" t="s">
        <v>1530</v>
      </c>
      <c r="B192" s="18" t="s">
        <v>68</v>
      </c>
      <c r="C192" s="18" t="s">
        <v>75</v>
      </c>
      <c r="D192" s="18" t="s">
        <v>34</v>
      </c>
      <c r="E192" s="18" t="s">
        <v>17</v>
      </c>
      <c r="F192" s="19" t="s">
        <v>1531</v>
      </c>
      <c r="G192" s="20" t="s">
        <v>1532</v>
      </c>
      <c r="H192" s="19" t="s">
        <v>1533</v>
      </c>
      <c r="I192" s="19" t="s">
        <v>1534</v>
      </c>
      <c r="J192" s="19" t="s">
        <v>1535</v>
      </c>
      <c r="K192" s="19" t="s">
        <v>399</v>
      </c>
      <c r="L192" s="19" t="s">
        <v>1536</v>
      </c>
      <c r="M192" s="19"/>
      <c r="N192" s="19"/>
      <c r="O192" s="19" t="s">
        <v>142</v>
      </c>
      <c r="P192" s="19" t="s">
        <v>143</v>
      </c>
      <c r="Q192" s="19"/>
      <c r="R192" s="19"/>
      <c r="S192" s="19"/>
      <c r="T192" s="19"/>
    </row>
    <row r="193" customFormat="false" ht="35.05" hidden="false" customHeight="false" outlineLevel="0" collapsed="false">
      <c r="A193" s="18" t="s">
        <v>1537</v>
      </c>
      <c r="B193" s="18" t="s">
        <v>68</v>
      </c>
      <c r="C193" s="18" t="s">
        <v>75</v>
      </c>
      <c r="D193" s="18" t="s">
        <v>35</v>
      </c>
      <c r="E193" s="18" t="s">
        <v>17</v>
      </c>
      <c r="F193" s="19" t="s">
        <v>1538</v>
      </c>
      <c r="G193" s="19"/>
      <c r="H193" s="19" t="s">
        <v>1539</v>
      </c>
      <c r="I193" s="19" t="s">
        <v>1540</v>
      </c>
      <c r="J193" s="19" t="s">
        <v>1541</v>
      </c>
      <c r="K193" s="19" t="s">
        <v>1542</v>
      </c>
      <c r="L193" s="19" t="s">
        <v>1543</v>
      </c>
      <c r="M193" s="19"/>
      <c r="N193" s="19"/>
      <c r="O193" s="19" t="s">
        <v>142</v>
      </c>
      <c r="P193" s="19" t="s">
        <v>143</v>
      </c>
      <c r="Q193" s="19"/>
      <c r="R193" s="19"/>
      <c r="S193" s="19"/>
      <c r="T193" s="19"/>
    </row>
    <row r="194" customFormat="false" ht="35.05" hidden="false" customHeight="false" outlineLevel="0" collapsed="false">
      <c r="A194" s="18" t="s">
        <v>1544</v>
      </c>
      <c r="B194" s="18" t="s">
        <v>68</v>
      </c>
      <c r="C194" s="18" t="s">
        <v>75</v>
      </c>
      <c r="D194" s="18" t="s">
        <v>35</v>
      </c>
      <c r="E194" s="18" t="s">
        <v>17</v>
      </c>
      <c r="F194" s="19" t="s">
        <v>1545</v>
      </c>
      <c r="G194" s="19"/>
      <c r="H194" s="19" t="s">
        <v>1546</v>
      </c>
      <c r="I194" s="19" t="s">
        <v>1547</v>
      </c>
      <c r="J194" s="19" t="s">
        <v>1548</v>
      </c>
      <c r="K194" s="19" t="s">
        <v>1549</v>
      </c>
      <c r="L194" s="19" t="s">
        <v>1550</v>
      </c>
      <c r="M194" s="19"/>
      <c r="N194" s="19"/>
      <c r="O194" s="19" t="s">
        <v>142</v>
      </c>
      <c r="P194" s="19" t="s">
        <v>143</v>
      </c>
      <c r="Q194" s="19"/>
      <c r="R194" s="19"/>
      <c r="S194" s="19"/>
      <c r="T194" s="19"/>
    </row>
    <row r="195" customFormat="false" ht="23.85" hidden="false" customHeight="false" outlineLevel="0" collapsed="false">
      <c r="A195" s="18" t="s">
        <v>1551</v>
      </c>
      <c r="B195" s="18" t="s">
        <v>68</v>
      </c>
      <c r="C195" s="18" t="s">
        <v>75</v>
      </c>
      <c r="D195" s="18" t="s">
        <v>35</v>
      </c>
      <c r="E195" s="18" t="s">
        <v>17</v>
      </c>
      <c r="F195" s="19" t="s">
        <v>1552</v>
      </c>
      <c r="G195" s="19"/>
      <c r="H195" s="19" t="s">
        <v>1553</v>
      </c>
      <c r="I195" s="19" t="s">
        <v>1554</v>
      </c>
      <c r="J195" s="19" t="s">
        <v>1555</v>
      </c>
      <c r="K195" s="19" t="s">
        <v>1556</v>
      </c>
      <c r="L195" s="19" t="s">
        <v>1557</v>
      </c>
      <c r="M195" s="19"/>
      <c r="N195" s="19"/>
      <c r="O195" s="19" t="s">
        <v>142</v>
      </c>
      <c r="P195" s="19" t="s">
        <v>143</v>
      </c>
      <c r="Q195" s="19"/>
      <c r="R195" s="19"/>
      <c r="S195" s="19"/>
      <c r="T195" s="19"/>
    </row>
    <row r="196" customFormat="false" ht="53.7" hidden="false" customHeight="false" outlineLevel="0" collapsed="false">
      <c r="A196" s="18" t="s">
        <v>1558</v>
      </c>
      <c r="B196" s="18" t="s">
        <v>68</v>
      </c>
      <c r="C196" s="18" t="s">
        <v>75</v>
      </c>
      <c r="D196" s="18" t="s">
        <v>35</v>
      </c>
      <c r="E196" s="18" t="s">
        <v>17</v>
      </c>
      <c r="F196" s="19" t="s">
        <v>1559</v>
      </c>
      <c r="G196" s="20" t="s">
        <v>1560</v>
      </c>
      <c r="H196" s="19" t="s">
        <v>1561</v>
      </c>
      <c r="I196" s="19" t="s">
        <v>1562</v>
      </c>
      <c r="J196" s="19" t="s">
        <v>1563</v>
      </c>
      <c r="K196" s="19" t="s">
        <v>1564</v>
      </c>
      <c r="L196" s="19" t="s">
        <v>1565</v>
      </c>
      <c r="M196" s="19"/>
      <c r="N196" s="19"/>
      <c r="O196" s="19" t="s">
        <v>142</v>
      </c>
      <c r="P196" s="19" t="s">
        <v>143</v>
      </c>
      <c r="Q196" s="19"/>
      <c r="R196" s="19"/>
      <c r="S196" s="19"/>
      <c r="T196" s="19"/>
    </row>
    <row r="197" customFormat="false" ht="23.85" hidden="false" customHeight="false" outlineLevel="0" collapsed="false">
      <c r="A197" s="18" t="s">
        <v>1566</v>
      </c>
      <c r="B197" s="18" t="s">
        <v>68</v>
      </c>
      <c r="C197" s="18" t="s">
        <v>77</v>
      </c>
      <c r="D197" s="18" t="s">
        <v>33</v>
      </c>
      <c r="E197" s="18" t="s">
        <v>17</v>
      </c>
      <c r="F197" s="19" t="s">
        <v>1567</v>
      </c>
      <c r="G197" s="19"/>
      <c r="H197" s="19" t="s">
        <v>1568</v>
      </c>
      <c r="I197" s="19" t="s">
        <v>1569</v>
      </c>
      <c r="J197" s="19" t="s">
        <v>1570</v>
      </c>
      <c r="K197" s="19" t="s">
        <v>1571</v>
      </c>
      <c r="L197" s="19" t="s">
        <v>1572</v>
      </c>
      <c r="M197" s="19"/>
      <c r="N197" s="19"/>
      <c r="O197" s="19" t="s">
        <v>142</v>
      </c>
      <c r="P197" s="19" t="s">
        <v>143</v>
      </c>
      <c r="Q197" s="19"/>
      <c r="R197" s="19"/>
      <c r="S197" s="19"/>
      <c r="T197" s="19"/>
    </row>
    <row r="198" customFormat="false" ht="23.85" hidden="false" customHeight="false" outlineLevel="0" collapsed="false">
      <c r="A198" s="18" t="s">
        <v>1573</v>
      </c>
      <c r="B198" s="18" t="s">
        <v>68</v>
      </c>
      <c r="C198" s="18" t="s">
        <v>77</v>
      </c>
      <c r="D198" s="18" t="s">
        <v>33</v>
      </c>
      <c r="E198" s="18" t="s">
        <v>19</v>
      </c>
      <c r="F198" s="19" t="s">
        <v>1574</v>
      </c>
      <c r="G198" s="19"/>
      <c r="H198" s="19" t="s">
        <v>1575</v>
      </c>
      <c r="I198" s="19" t="s">
        <v>1576</v>
      </c>
      <c r="J198" s="19" t="s">
        <v>1577</v>
      </c>
      <c r="K198" s="19" t="s">
        <v>1578</v>
      </c>
      <c r="L198" s="19" t="s">
        <v>1579</v>
      </c>
      <c r="M198" s="19"/>
      <c r="N198" s="19"/>
      <c r="O198" s="19" t="s">
        <v>142</v>
      </c>
      <c r="P198" s="19" t="s">
        <v>143</v>
      </c>
      <c r="Q198" s="19"/>
      <c r="R198" s="19"/>
      <c r="S198" s="19"/>
      <c r="T198" s="19"/>
    </row>
    <row r="199" customFormat="false" ht="23.85" hidden="false" customHeight="false" outlineLevel="0" collapsed="false">
      <c r="A199" s="18" t="s">
        <v>1580</v>
      </c>
      <c r="B199" s="18" t="s">
        <v>68</v>
      </c>
      <c r="C199" s="18" t="s">
        <v>77</v>
      </c>
      <c r="D199" s="18" t="s">
        <v>33</v>
      </c>
      <c r="E199" s="18" t="s">
        <v>17</v>
      </c>
      <c r="F199" s="19" t="s">
        <v>1581</v>
      </c>
      <c r="G199" s="19"/>
      <c r="H199" s="19" t="s">
        <v>1582</v>
      </c>
      <c r="I199" s="19" t="s">
        <v>1583</v>
      </c>
      <c r="J199" s="19" t="s">
        <v>1584</v>
      </c>
      <c r="K199" s="19" t="s">
        <v>1585</v>
      </c>
      <c r="L199" s="19" t="s">
        <v>1586</v>
      </c>
      <c r="M199" s="19"/>
      <c r="N199" s="19"/>
      <c r="O199" s="19" t="s">
        <v>142</v>
      </c>
      <c r="P199" s="19" t="s">
        <v>143</v>
      </c>
      <c r="Q199" s="19"/>
      <c r="R199" s="19"/>
      <c r="S199" s="19"/>
      <c r="T199" s="19"/>
    </row>
    <row r="200" customFormat="false" ht="43.25" hidden="false" customHeight="false" outlineLevel="0" collapsed="false">
      <c r="A200" s="18" t="s">
        <v>1587</v>
      </c>
      <c r="B200" s="18" t="s">
        <v>68</v>
      </c>
      <c r="C200" s="18" t="s">
        <v>77</v>
      </c>
      <c r="D200" s="18" t="s">
        <v>33</v>
      </c>
      <c r="E200" s="18" t="s">
        <v>17</v>
      </c>
      <c r="F200" s="19" t="s">
        <v>1588</v>
      </c>
      <c r="G200" s="20" t="s">
        <v>1589</v>
      </c>
      <c r="H200" s="19" t="s">
        <v>1590</v>
      </c>
      <c r="I200" s="19" t="s">
        <v>1591</v>
      </c>
      <c r="J200" s="19" t="s">
        <v>1592</v>
      </c>
      <c r="K200" s="19" t="s">
        <v>1593</v>
      </c>
      <c r="L200" s="19" t="s">
        <v>1594</v>
      </c>
      <c r="M200" s="19"/>
      <c r="N200" s="19"/>
      <c r="O200" s="19" t="s">
        <v>142</v>
      </c>
      <c r="P200" s="19" t="s">
        <v>143</v>
      </c>
      <c r="Q200" s="19"/>
      <c r="R200" s="19"/>
      <c r="S200" s="19"/>
      <c r="T200" s="19"/>
    </row>
    <row r="201" customFormat="false" ht="35.05" hidden="false" customHeight="false" outlineLevel="0" collapsed="false">
      <c r="A201" s="18" t="s">
        <v>1595</v>
      </c>
      <c r="B201" s="18" t="s">
        <v>68</v>
      </c>
      <c r="C201" s="18" t="s">
        <v>77</v>
      </c>
      <c r="D201" s="18" t="s">
        <v>34</v>
      </c>
      <c r="E201" s="18" t="s">
        <v>17</v>
      </c>
      <c r="F201" s="19" t="s">
        <v>1596</v>
      </c>
      <c r="G201" s="19"/>
      <c r="H201" s="19" t="s">
        <v>1597</v>
      </c>
      <c r="I201" s="19" t="s">
        <v>1598</v>
      </c>
      <c r="J201" s="19" t="s">
        <v>1599</v>
      </c>
      <c r="K201" s="19" t="s">
        <v>1600</v>
      </c>
      <c r="L201" s="19" t="s">
        <v>1601</v>
      </c>
      <c r="M201" s="19"/>
      <c r="N201" s="19"/>
      <c r="O201" s="19" t="s">
        <v>142</v>
      </c>
      <c r="P201" s="19" t="s">
        <v>143</v>
      </c>
      <c r="Q201" s="19"/>
      <c r="R201" s="19"/>
      <c r="S201" s="19"/>
      <c r="T201" s="19"/>
    </row>
    <row r="202" customFormat="false" ht="23.85" hidden="false" customHeight="false" outlineLevel="0" collapsed="false">
      <c r="A202" s="18" t="s">
        <v>1602</v>
      </c>
      <c r="B202" s="18" t="s">
        <v>68</v>
      </c>
      <c r="C202" s="18" t="s">
        <v>77</v>
      </c>
      <c r="D202" s="18" t="s">
        <v>34</v>
      </c>
      <c r="E202" s="18" t="s">
        <v>17</v>
      </c>
      <c r="F202" s="19" t="s">
        <v>1603</v>
      </c>
      <c r="G202" s="19"/>
      <c r="H202" s="19" t="s">
        <v>1604</v>
      </c>
      <c r="I202" s="19" t="s">
        <v>1605</v>
      </c>
      <c r="J202" s="19" t="s">
        <v>1606</v>
      </c>
      <c r="K202" s="19" t="s">
        <v>1607</v>
      </c>
      <c r="L202" s="19" t="s">
        <v>1608</v>
      </c>
      <c r="M202" s="19"/>
      <c r="N202" s="19"/>
      <c r="O202" s="19" t="s">
        <v>142</v>
      </c>
      <c r="P202" s="19" t="s">
        <v>143</v>
      </c>
      <c r="Q202" s="19"/>
      <c r="R202" s="19"/>
      <c r="S202" s="19"/>
      <c r="T202" s="19"/>
    </row>
    <row r="203" customFormat="false" ht="23.85" hidden="false" customHeight="false" outlineLevel="0" collapsed="false">
      <c r="A203" s="18" t="s">
        <v>1609</v>
      </c>
      <c r="B203" s="18" t="s">
        <v>68</v>
      </c>
      <c r="C203" s="18" t="s">
        <v>77</v>
      </c>
      <c r="D203" s="18" t="s">
        <v>34</v>
      </c>
      <c r="E203" s="18" t="s">
        <v>17</v>
      </c>
      <c r="F203" s="19" t="s">
        <v>1610</v>
      </c>
      <c r="G203" s="19"/>
      <c r="H203" s="19" t="s">
        <v>1611</v>
      </c>
      <c r="I203" s="19" t="s">
        <v>1612</v>
      </c>
      <c r="J203" s="19" t="s">
        <v>1613</v>
      </c>
      <c r="K203" s="19" t="s">
        <v>1614</v>
      </c>
      <c r="L203" s="19" t="s">
        <v>1615</v>
      </c>
      <c r="M203" s="19"/>
      <c r="N203" s="19"/>
      <c r="O203" s="19" t="s">
        <v>142</v>
      </c>
      <c r="P203" s="19" t="s">
        <v>143</v>
      </c>
      <c r="Q203" s="19"/>
      <c r="R203" s="19"/>
      <c r="S203" s="19"/>
      <c r="T203" s="19"/>
    </row>
    <row r="204" customFormat="false" ht="64.15" hidden="false" customHeight="false" outlineLevel="0" collapsed="false">
      <c r="A204" s="18" t="s">
        <v>1616</v>
      </c>
      <c r="B204" s="18" t="s">
        <v>68</v>
      </c>
      <c r="C204" s="18" t="s">
        <v>77</v>
      </c>
      <c r="D204" s="18" t="s">
        <v>34</v>
      </c>
      <c r="E204" s="18" t="s">
        <v>17</v>
      </c>
      <c r="F204" s="19" t="s">
        <v>1617</v>
      </c>
      <c r="G204" s="20" t="s">
        <v>1618</v>
      </c>
      <c r="H204" s="19" t="s">
        <v>1619</v>
      </c>
      <c r="I204" s="19" t="s">
        <v>1620</v>
      </c>
      <c r="J204" s="19" t="s">
        <v>1621</v>
      </c>
      <c r="K204" s="19" t="s">
        <v>1622</v>
      </c>
      <c r="L204" s="19" t="s">
        <v>1623</v>
      </c>
      <c r="M204" s="19"/>
      <c r="N204" s="19"/>
      <c r="O204" s="19" t="s">
        <v>142</v>
      </c>
      <c r="P204" s="19" t="s">
        <v>143</v>
      </c>
      <c r="Q204" s="19"/>
      <c r="R204" s="19"/>
      <c r="S204" s="19"/>
      <c r="T204" s="19"/>
    </row>
    <row r="205" customFormat="false" ht="35.05" hidden="false" customHeight="false" outlineLevel="0" collapsed="false">
      <c r="A205" s="18" t="s">
        <v>1624</v>
      </c>
      <c r="B205" s="18" t="s">
        <v>68</v>
      </c>
      <c r="C205" s="18" t="s">
        <v>77</v>
      </c>
      <c r="D205" s="18" t="s">
        <v>35</v>
      </c>
      <c r="E205" s="18" t="s">
        <v>17</v>
      </c>
      <c r="F205" s="19" t="s">
        <v>1625</v>
      </c>
      <c r="G205" s="19"/>
      <c r="H205" s="19" t="s">
        <v>1626</v>
      </c>
      <c r="I205" s="19" t="s">
        <v>437</v>
      </c>
      <c r="J205" s="19" t="s">
        <v>1627</v>
      </c>
      <c r="K205" s="19" t="s">
        <v>1628</v>
      </c>
      <c r="L205" s="19" t="s">
        <v>1629</v>
      </c>
      <c r="M205" s="19"/>
      <c r="N205" s="19"/>
      <c r="O205" s="19" t="s">
        <v>142</v>
      </c>
      <c r="P205" s="19" t="s">
        <v>143</v>
      </c>
      <c r="Q205" s="19"/>
      <c r="R205" s="19"/>
      <c r="S205" s="19"/>
      <c r="T205" s="19"/>
    </row>
    <row r="206" customFormat="false" ht="23.85" hidden="false" customHeight="false" outlineLevel="0" collapsed="false">
      <c r="A206" s="18" t="s">
        <v>1630</v>
      </c>
      <c r="B206" s="18" t="s">
        <v>68</v>
      </c>
      <c r="C206" s="18" t="s">
        <v>77</v>
      </c>
      <c r="D206" s="18" t="s">
        <v>35</v>
      </c>
      <c r="E206" s="18" t="s">
        <v>17</v>
      </c>
      <c r="F206" s="19" t="s">
        <v>1631</v>
      </c>
      <c r="G206" s="19"/>
      <c r="H206" s="19" t="s">
        <v>1632</v>
      </c>
      <c r="I206" s="19" t="s">
        <v>1633</v>
      </c>
      <c r="J206" s="19" t="s">
        <v>1634</v>
      </c>
      <c r="K206" s="19" t="s">
        <v>1635</v>
      </c>
      <c r="L206" s="19" t="s">
        <v>1636</v>
      </c>
      <c r="M206" s="19"/>
      <c r="N206" s="19"/>
      <c r="O206" s="19" t="s">
        <v>142</v>
      </c>
      <c r="P206" s="19" t="s">
        <v>143</v>
      </c>
      <c r="Q206" s="19"/>
      <c r="R206" s="19"/>
      <c r="S206" s="19"/>
      <c r="T206" s="19"/>
    </row>
    <row r="207" customFormat="false" ht="35.05" hidden="false" customHeight="false" outlineLevel="0" collapsed="false">
      <c r="A207" s="18" t="s">
        <v>1637</v>
      </c>
      <c r="B207" s="18" t="s">
        <v>68</v>
      </c>
      <c r="C207" s="18" t="s">
        <v>77</v>
      </c>
      <c r="D207" s="18" t="s">
        <v>35</v>
      </c>
      <c r="E207" s="18" t="s">
        <v>17</v>
      </c>
      <c r="F207" s="19" t="s">
        <v>1638</v>
      </c>
      <c r="G207" s="19"/>
      <c r="H207" s="19" t="s">
        <v>1639</v>
      </c>
      <c r="I207" s="19" t="s">
        <v>1640</v>
      </c>
      <c r="J207" s="19" t="s">
        <v>1641</v>
      </c>
      <c r="K207" s="19" t="s">
        <v>1642</v>
      </c>
      <c r="L207" s="19" t="s">
        <v>1643</v>
      </c>
      <c r="M207" s="19"/>
      <c r="N207" s="19"/>
      <c r="O207" s="19" t="s">
        <v>142</v>
      </c>
      <c r="P207" s="19" t="s">
        <v>143</v>
      </c>
      <c r="Q207" s="19"/>
      <c r="R207" s="19"/>
      <c r="S207" s="19"/>
      <c r="T207" s="19"/>
    </row>
    <row r="208" customFormat="false" ht="53.7" hidden="false" customHeight="false" outlineLevel="0" collapsed="false">
      <c r="A208" s="18" t="s">
        <v>1644</v>
      </c>
      <c r="B208" s="18" t="s">
        <v>68</v>
      </c>
      <c r="C208" s="18" t="s">
        <v>77</v>
      </c>
      <c r="D208" s="18" t="s">
        <v>35</v>
      </c>
      <c r="E208" s="18" t="s">
        <v>17</v>
      </c>
      <c r="F208" s="19" t="s">
        <v>1645</v>
      </c>
      <c r="G208" s="20" t="s">
        <v>1646</v>
      </c>
      <c r="H208" s="19" t="s">
        <v>1647</v>
      </c>
      <c r="I208" s="19" t="s">
        <v>1648</v>
      </c>
      <c r="J208" s="19" t="s">
        <v>1649</v>
      </c>
      <c r="K208" s="19" t="s">
        <v>1650</v>
      </c>
      <c r="L208" s="19" t="s">
        <v>1651</v>
      </c>
      <c r="M208" s="19"/>
      <c r="N208" s="19"/>
      <c r="O208" s="19" t="s">
        <v>142</v>
      </c>
      <c r="P208" s="19" t="s">
        <v>143</v>
      </c>
      <c r="Q208" s="19"/>
      <c r="R208" s="19"/>
      <c r="S208" s="19"/>
      <c r="T208" s="19"/>
    </row>
    <row r="209" customFormat="false" ht="23.85" hidden="false" customHeight="false" outlineLevel="0" collapsed="false">
      <c r="A209" s="18" t="s">
        <v>1652</v>
      </c>
      <c r="B209" s="18" t="s">
        <v>68</v>
      </c>
      <c r="C209" s="18" t="s">
        <v>62</v>
      </c>
      <c r="D209" s="18" t="s">
        <v>33</v>
      </c>
      <c r="E209" s="18" t="s">
        <v>17</v>
      </c>
      <c r="F209" s="19" t="s">
        <v>1653</v>
      </c>
      <c r="G209" s="19"/>
      <c r="H209" s="19" t="s">
        <v>1654</v>
      </c>
      <c r="I209" s="19" t="s">
        <v>1655</v>
      </c>
      <c r="J209" s="19" t="s">
        <v>1656</v>
      </c>
      <c r="K209" s="19" t="s">
        <v>1657</v>
      </c>
      <c r="L209" s="19" t="s">
        <v>1658</v>
      </c>
      <c r="M209" s="19"/>
      <c r="N209" s="19"/>
      <c r="O209" s="19" t="s">
        <v>142</v>
      </c>
      <c r="P209" s="19" t="s">
        <v>143</v>
      </c>
      <c r="Q209" s="19"/>
      <c r="R209" s="19"/>
      <c r="S209" s="19"/>
      <c r="T209" s="19"/>
    </row>
    <row r="210" customFormat="false" ht="23.85" hidden="false" customHeight="false" outlineLevel="0" collapsed="false">
      <c r="A210" s="18" t="s">
        <v>1659</v>
      </c>
      <c r="B210" s="18" t="s">
        <v>68</v>
      </c>
      <c r="C210" s="18" t="s">
        <v>62</v>
      </c>
      <c r="D210" s="18" t="s">
        <v>33</v>
      </c>
      <c r="E210" s="18" t="s">
        <v>19</v>
      </c>
      <c r="F210" s="19" t="s">
        <v>1660</v>
      </c>
      <c r="G210" s="19"/>
      <c r="H210" s="19" t="s">
        <v>1661</v>
      </c>
      <c r="I210" s="19" t="s">
        <v>1662</v>
      </c>
      <c r="J210" s="19" t="s">
        <v>1663</v>
      </c>
      <c r="K210" s="19" t="s">
        <v>1664</v>
      </c>
      <c r="L210" s="19" t="s">
        <v>1665</v>
      </c>
      <c r="M210" s="19"/>
      <c r="N210" s="19"/>
      <c r="O210" s="19" t="s">
        <v>142</v>
      </c>
      <c r="P210" s="19" t="s">
        <v>143</v>
      </c>
      <c r="Q210" s="19"/>
      <c r="R210" s="19"/>
      <c r="S210" s="19"/>
      <c r="T210" s="19"/>
    </row>
    <row r="211" customFormat="false" ht="23.85" hidden="false" customHeight="false" outlineLevel="0" collapsed="false">
      <c r="A211" s="18" t="s">
        <v>1666</v>
      </c>
      <c r="B211" s="18" t="s">
        <v>68</v>
      </c>
      <c r="C211" s="18" t="s">
        <v>62</v>
      </c>
      <c r="D211" s="18" t="s">
        <v>33</v>
      </c>
      <c r="E211" s="18" t="s">
        <v>17</v>
      </c>
      <c r="F211" s="19" t="s">
        <v>1667</v>
      </c>
      <c r="G211" s="19"/>
      <c r="H211" s="19" t="s">
        <v>1668</v>
      </c>
      <c r="I211" s="19" t="s">
        <v>1669</v>
      </c>
      <c r="J211" s="19" t="s">
        <v>1670</v>
      </c>
      <c r="K211" s="19" t="s">
        <v>1671</v>
      </c>
      <c r="L211" s="19" t="s">
        <v>1672</v>
      </c>
      <c r="M211" s="19"/>
      <c r="N211" s="19"/>
      <c r="O211" s="19" t="s">
        <v>142</v>
      </c>
      <c r="P211" s="19" t="s">
        <v>143</v>
      </c>
      <c r="Q211" s="19"/>
      <c r="R211" s="19"/>
      <c r="S211" s="19"/>
      <c r="T211" s="19"/>
    </row>
    <row r="212" customFormat="false" ht="43.25" hidden="false" customHeight="false" outlineLevel="0" collapsed="false">
      <c r="A212" s="18" t="s">
        <v>1673</v>
      </c>
      <c r="B212" s="18" t="s">
        <v>68</v>
      </c>
      <c r="C212" s="18" t="s">
        <v>62</v>
      </c>
      <c r="D212" s="18" t="s">
        <v>33</v>
      </c>
      <c r="E212" s="18" t="s">
        <v>17</v>
      </c>
      <c r="F212" s="19" t="s">
        <v>1674</v>
      </c>
      <c r="G212" s="20" t="s">
        <v>1675</v>
      </c>
      <c r="H212" s="19" t="s">
        <v>1676</v>
      </c>
      <c r="I212" s="19" t="s">
        <v>1677</v>
      </c>
      <c r="J212" s="19" t="s">
        <v>1678</v>
      </c>
      <c r="K212" s="19" t="s">
        <v>1679</v>
      </c>
      <c r="L212" s="19" t="s">
        <v>1680</v>
      </c>
      <c r="M212" s="19"/>
      <c r="N212" s="19"/>
      <c r="O212" s="19" t="s">
        <v>142</v>
      </c>
      <c r="P212" s="19" t="s">
        <v>143</v>
      </c>
      <c r="Q212" s="19"/>
      <c r="R212" s="19"/>
      <c r="S212" s="19"/>
      <c r="T212" s="19"/>
    </row>
    <row r="213" customFormat="false" ht="23.85" hidden="false" customHeight="false" outlineLevel="0" collapsed="false">
      <c r="A213" s="18" t="s">
        <v>1681</v>
      </c>
      <c r="B213" s="18" t="s">
        <v>68</v>
      </c>
      <c r="C213" s="18" t="s">
        <v>62</v>
      </c>
      <c r="D213" s="18" t="s">
        <v>34</v>
      </c>
      <c r="E213" s="18" t="s">
        <v>17</v>
      </c>
      <c r="F213" s="19" t="s">
        <v>1682</v>
      </c>
      <c r="G213" s="19"/>
      <c r="H213" s="19" t="s">
        <v>1683</v>
      </c>
      <c r="I213" s="19" t="s">
        <v>1684</v>
      </c>
      <c r="J213" s="19" t="s">
        <v>1685</v>
      </c>
      <c r="K213" s="19" t="s">
        <v>1686</v>
      </c>
      <c r="L213" s="19" t="s">
        <v>1687</v>
      </c>
      <c r="M213" s="19"/>
      <c r="N213" s="19"/>
      <c r="O213" s="19" t="s">
        <v>142</v>
      </c>
      <c r="P213" s="19" t="s">
        <v>143</v>
      </c>
      <c r="Q213" s="19"/>
      <c r="R213" s="19"/>
      <c r="S213" s="19"/>
      <c r="T213" s="19"/>
    </row>
    <row r="214" customFormat="false" ht="23.85" hidden="false" customHeight="false" outlineLevel="0" collapsed="false">
      <c r="A214" s="18" t="s">
        <v>1688</v>
      </c>
      <c r="B214" s="18" t="s">
        <v>68</v>
      </c>
      <c r="C214" s="18" t="s">
        <v>62</v>
      </c>
      <c r="D214" s="18" t="s">
        <v>34</v>
      </c>
      <c r="E214" s="18" t="s">
        <v>17</v>
      </c>
      <c r="F214" s="19" t="s">
        <v>1689</v>
      </c>
      <c r="G214" s="19"/>
      <c r="H214" s="19" t="s">
        <v>1690</v>
      </c>
      <c r="I214" s="19" t="s">
        <v>1691</v>
      </c>
      <c r="J214" s="19" t="s">
        <v>1692</v>
      </c>
      <c r="K214" s="19" t="s">
        <v>1693</v>
      </c>
      <c r="L214" s="19" t="s">
        <v>1694</v>
      </c>
      <c r="M214" s="19"/>
      <c r="N214" s="19"/>
      <c r="O214" s="19" t="s">
        <v>142</v>
      </c>
      <c r="P214" s="19" t="s">
        <v>143</v>
      </c>
      <c r="Q214" s="19"/>
      <c r="R214" s="19"/>
      <c r="S214" s="19"/>
      <c r="T214" s="19"/>
    </row>
    <row r="215" customFormat="false" ht="35.05" hidden="false" customHeight="false" outlineLevel="0" collapsed="false">
      <c r="A215" s="18" t="s">
        <v>1695</v>
      </c>
      <c r="B215" s="18" t="s">
        <v>68</v>
      </c>
      <c r="C215" s="18" t="s">
        <v>62</v>
      </c>
      <c r="D215" s="18" t="s">
        <v>34</v>
      </c>
      <c r="E215" s="18" t="s">
        <v>17</v>
      </c>
      <c r="F215" s="19" t="s">
        <v>1696</v>
      </c>
      <c r="G215" s="19"/>
      <c r="H215" s="19" t="s">
        <v>1697</v>
      </c>
      <c r="I215" s="19" t="s">
        <v>629</v>
      </c>
      <c r="J215" s="19" t="s">
        <v>1698</v>
      </c>
      <c r="K215" s="19" t="s">
        <v>454</v>
      </c>
      <c r="L215" s="19" t="s">
        <v>1699</v>
      </c>
      <c r="M215" s="19"/>
      <c r="N215" s="19"/>
      <c r="O215" s="19" t="s">
        <v>142</v>
      </c>
      <c r="P215" s="19" t="s">
        <v>143</v>
      </c>
      <c r="Q215" s="19"/>
      <c r="R215" s="19"/>
      <c r="S215" s="19"/>
      <c r="T215" s="19"/>
    </row>
    <row r="216" customFormat="false" ht="32.8" hidden="false" customHeight="false" outlineLevel="0" collapsed="false">
      <c r="A216" s="18" t="s">
        <v>1700</v>
      </c>
      <c r="B216" s="18" t="s">
        <v>68</v>
      </c>
      <c r="C216" s="18" t="s">
        <v>62</v>
      </c>
      <c r="D216" s="18" t="s">
        <v>34</v>
      </c>
      <c r="E216" s="18" t="s">
        <v>17</v>
      </c>
      <c r="F216" s="19" t="s">
        <v>1701</v>
      </c>
      <c r="G216" s="20" t="s">
        <v>1702</v>
      </c>
      <c r="H216" s="19" t="s">
        <v>1703</v>
      </c>
      <c r="I216" s="19" t="s">
        <v>629</v>
      </c>
      <c r="J216" s="19" t="s">
        <v>1704</v>
      </c>
      <c r="K216" s="19" t="s">
        <v>1705</v>
      </c>
      <c r="L216" s="19" t="s">
        <v>1706</v>
      </c>
      <c r="M216" s="19"/>
      <c r="N216" s="19"/>
      <c r="O216" s="19" t="s">
        <v>142</v>
      </c>
      <c r="P216" s="19" t="s">
        <v>143</v>
      </c>
      <c r="Q216" s="19"/>
      <c r="R216" s="19"/>
      <c r="S216" s="19"/>
      <c r="T216" s="19"/>
    </row>
    <row r="217" customFormat="false" ht="23.85" hidden="false" customHeight="false" outlineLevel="0" collapsed="false">
      <c r="A217" s="18" t="s">
        <v>1707</v>
      </c>
      <c r="B217" s="18" t="s">
        <v>68</v>
      </c>
      <c r="C217" s="18" t="s">
        <v>62</v>
      </c>
      <c r="D217" s="18" t="s">
        <v>35</v>
      </c>
      <c r="E217" s="18" t="s">
        <v>17</v>
      </c>
      <c r="F217" s="19" t="s">
        <v>1708</v>
      </c>
      <c r="G217" s="19"/>
      <c r="H217" s="19" t="s">
        <v>1709</v>
      </c>
      <c r="I217" s="19" t="s">
        <v>1710</v>
      </c>
      <c r="J217" s="19" t="s">
        <v>1711</v>
      </c>
      <c r="K217" s="19" t="s">
        <v>631</v>
      </c>
      <c r="L217" s="19" t="s">
        <v>1712</v>
      </c>
      <c r="M217" s="19"/>
      <c r="N217" s="19"/>
      <c r="O217" s="19" t="s">
        <v>142</v>
      </c>
      <c r="P217" s="19" t="s">
        <v>143</v>
      </c>
      <c r="Q217" s="19"/>
      <c r="R217" s="19"/>
      <c r="S217" s="19"/>
      <c r="T217" s="19"/>
    </row>
    <row r="218" customFormat="false" ht="35.05" hidden="false" customHeight="false" outlineLevel="0" collapsed="false">
      <c r="A218" s="18" t="s">
        <v>1713</v>
      </c>
      <c r="B218" s="18" t="s">
        <v>68</v>
      </c>
      <c r="C218" s="18" t="s">
        <v>62</v>
      </c>
      <c r="D218" s="18" t="s">
        <v>35</v>
      </c>
      <c r="E218" s="18" t="s">
        <v>17</v>
      </c>
      <c r="F218" s="19" t="s">
        <v>1714</v>
      </c>
      <c r="G218" s="19"/>
      <c r="H218" s="19" t="s">
        <v>1715</v>
      </c>
      <c r="I218" s="19" t="s">
        <v>1716</v>
      </c>
      <c r="J218" s="19" t="s">
        <v>1717</v>
      </c>
      <c r="K218" s="19" t="s">
        <v>1718</v>
      </c>
      <c r="L218" s="19" t="s">
        <v>1719</v>
      </c>
      <c r="M218" s="19"/>
      <c r="N218" s="19"/>
      <c r="O218" s="19" t="s">
        <v>142</v>
      </c>
      <c r="P218" s="19" t="s">
        <v>143</v>
      </c>
      <c r="Q218" s="19"/>
      <c r="R218" s="19"/>
      <c r="S218" s="19"/>
      <c r="T218" s="19"/>
    </row>
    <row r="219" customFormat="false" ht="23.85" hidden="false" customHeight="false" outlineLevel="0" collapsed="false">
      <c r="A219" s="18" t="s">
        <v>1720</v>
      </c>
      <c r="B219" s="18" t="s">
        <v>68</v>
      </c>
      <c r="C219" s="18" t="s">
        <v>62</v>
      </c>
      <c r="D219" s="18" t="s">
        <v>35</v>
      </c>
      <c r="E219" s="18" t="s">
        <v>17</v>
      </c>
      <c r="F219" s="19" t="s">
        <v>1721</v>
      </c>
      <c r="G219" s="19"/>
      <c r="H219" s="19" t="s">
        <v>1722</v>
      </c>
      <c r="I219" s="19" t="s">
        <v>1723</v>
      </c>
      <c r="J219" s="19" t="s">
        <v>1724</v>
      </c>
      <c r="K219" s="19" t="s">
        <v>1725</v>
      </c>
      <c r="L219" s="19" t="s">
        <v>1726</v>
      </c>
      <c r="M219" s="19"/>
      <c r="N219" s="19"/>
      <c r="O219" s="19" t="s">
        <v>142</v>
      </c>
      <c r="P219" s="19" t="s">
        <v>143</v>
      </c>
      <c r="Q219" s="19"/>
      <c r="R219" s="19"/>
      <c r="S219" s="19"/>
      <c r="T219" s="19"/>
    </row>
    <row r="220" customFormat="false" ht="43.25" hidden="false" customHeight="false" outlineLevel="0" collapsed="false">
      <c r="A220" s="18" t="s">
        <v>1727</v>
      </c>
      <c r="B220" s="18" t="s">
        <v>68</v>
      </c>
      <c r="C220" s="18" t="s">
        <v>62</v>
      </c>
      <c r="D220" s="18" t="s">
        <v>35</v>
      </c>
      <c r="E220" s="18" t="s">
        <v>17</v>
      </c>
      <c r="F220" s="19" t="s">
        <v>1728</v>
      </c>
      <c r="G220" s="20" t="s">
        <v>1729</v>
      </c>
      <c r="H220" s="19" t="s">
        <v>1730</v>
      </c>
      <c r="I220" s="19" t="s">
        <v>1731</v>
      </c>
      <c r="J220" s="19" t="s">
        <v>1732</v>
      </c>
      <c r="K220" s="19" t="s">
        <v>1733</v>
      </c>
      <c r="L220" s="19" t="s">
        <v>1734</v>
      </c>
      <c r="M220" s="19"/>
      <c r="N220" s="19"/>
      <c r="O220" s="19" t="s">
        <v>142</v>
      </c>
      <c r="P220" s="19" t="s">
        <v>143</v>
      </c>
      <c r="Q220" s="19"/>
      <c r="R220" s="19"/>
      <c r="S220" s="19"/>
      <c r="T220" s="19"/>
    </row>
    <row r="221" customFormat="false" ht="23.85" hidden="false" customHeight="false" outlineLevel="0" collapsed="false">
      <c r="A221" s="18" t="s">
        <v>1735</v>
      </c>
      <c r="B221" s="18" t="s">
        <v>80</v>
      </c>
      <c r="C221" s="18" t="s">
        <v>81</v>
      </c>
      <c r="D221" s="18" t="s">
        <v>33</v>
      </c>
      <c r="E221" s="18" t="s">
        <v>17</v>
      </c>
      <c r="F221" s="19" t="s">
        <v>1736</v>
      </c>
      <c r="G221" s="19"/>
      <c r="H221" s="19" t="s">
        <v>1737</v>
      </c>
      <c r="I221" s="19" t="s">
        <v>1738</v>
      </c>
      <c r="J221" s="19" t="s">
        <v>1739</v>
      </c>
      <c r="K221" s="19" t="s">
        <v>1740</v>
      </c>
      <c r="L221" s="19" t="s">
        <v>1741</v>
      </c>
      <c r="M221" s="19"/>
      <c r="N221" s="19"/>
      <c r="O221" s="19" t="s">
        <v>142</v>
      </c>
      <c r="P221" s="19" t="s">
        <v>143</v>
      </c>
      <c r="Q221" s="19"/>
      <c r="R221" s="19"/>
      <c r="S221" s="19"/>
      <c r="T221" s="19"/>
    </row>
    <row r="222" customFormat="false" ht="23.85" hidden="false" customHeight="false" outlineLevel="0" collapsed="false">
      <c r="A222" s="18" t="s">
        <v>1742</v>
      </c>
      <c r="B222" s="18" t="s">
        <v>80</v>
      </c>
      <c r="C222" s="18" t="s">
        <v>81</v>
      </c>
      <c r="D222" s="18" t="s">
        <v>33</v>
      </c>
      <c r="E222" s="18" t="s">
        <v>17</v>
      </c>
      <c r="F222" s="19" t="s">
        <v>1743</v>
      </c>
      <c r="G222" s="19"/>
      <c r="H222" s="19" t="s">
        <v>1744</v>
      </c>
      <c r="I222" s="19" t="s">
        <v>1745</v>
      </c>
      <c r="J222" s="19" t="s">
        <v>1746</v>
      </c>
      <c r="K222" s="19" t="s">
        <v>1747</v>
      </c>
      <c r="L222" s="19" t="s">
        <v>1748</v>
      </c>
      <c r="M222" s="19"/>
      <c r="N222" s="19"/>
      <c r="O222" s="19" t="s">
        <v>142</v>
      </c>
      <c r="P222" s="19" t="s">
        <v>143</v>
      </c>
      <c r="Q222" s="19"/>
      <c r="R222" s="19"/>
      <c r="S222" s="19"/>
      <c r="T222" s="19"/>
    </row>
    <row r="223" customFormat="false" ht="23.85" hidden="false" customHeight="false" outlineLevel="0" collapsed="false">
      <c r="A223" s="18" t="s">
        <v>1749</v>
      </c>
      <c r="B223" s="18" t="s">
        <v>80</v>
      </c>
      <c r="C223" s="18" t="s">
        <v>81</v>
      </c>
      <c r="D223" s="18" t="s">
        <v>33</v>
      </c>
      <c r="E223" s="18" t="s">
        <v>19</v>
      </c>
      <c r="F223" s="19" t="s">
        <v>1750</v>
      </c>
      <c r="G223" s="19"/>
      <c r="H223" s="19" t="s">
        <v>1751</v>
      </c>
      <c r="I223" s="19" t="s">
        <v>1752</v>
      </c>
      <c r="J223" s="19" t="s">
        <v>1753</v>
      </c>
      <c r="K223" s="19" t="s">
        <v>1754</v>
      </c>
      <c r="L223" s="19" t="s">
        <v>1755</v>
      </c>
      <c r="M223" s="19"/>
      <c r="N223" s="19"/>
      <c r="O223" s="19" t="s">
        <v>142</v>
      </c>
      <c r="P223" s="19" t="s">
        <v>143</v>
      </c>
      <c r="Q223" s="19"/>
      <c r="R223" s="19"/>
      <c r="S223" s="19"/>
      <c r="T223" s="19"/>
    </row>
    <row r="224" customFormat="false" ht="23.85" hidden="false" customHeight="false" outlineLevel="0" collapsed="false">
      <c r="A224" s="18" t="s">
        <v>1756</v>
      </c>
      <c r="B224" s="18" t="s">
        <v>80</v>
      </c>
      <c r="C224" s="18" t="s">
        <v>81</v>
      </c>
      <c r="D224" s="18" t="s">
        <v>33</v>
      </c>
      <c r="E224" s="18" t="s">
        <v>17</v>
      </c>
      <c r="F224" s="19" t="s">
        <v>1757</v>
      </c>
      <c r="G224" s="20" t="s">
        <v>1758</v>
      </c>
      <c r="H224" s="19" t="s">
        <v>1759</v>
      </c>
      <c r="I224" s="19" t="s">
        <v>1760</v>
      </c>
      <c r="J224" s="19" t="s">
        <v>1761</v>
      </c>
      <c r="K224" s="19" t="s">
        <v>1762</v>
      </c>
      <c r="L224" s="19" t="s">
        <v>1763</v>
      </c>
      <c r="M224" s="19"/>
      <c r="N224" s="19"/>
      <c r="O224" s="19" t="s">
        <v>142</v>
      </c>
      <c r="P224" s="19" t="s">
        <v>143</v>
      </c>
      <c r="Q224" s="19"/>
      <c r="R224" s="19"/>
      <c r="S224" s="19"/>
      <c r="T224" s="19"/>
    </row>
    <row r="225" customFormat="false" ht="35.05" hidden="false" customHeight="false" outlineLevel="0" collapsed="false">
      <c r="A225" s="18" t="s">
        <v>1764</v>
      </c>
      <c r="B225" s="18" t="s">
        <v>80</v>
      </c>
      <c r="C225" s="18" t="s">
        <v>81</v>
      </c>
      <c r="D225" s="18" t="s">
        <v>34</v>
      </c>
      <c r="E225" s="18" t="s">
        <v>17</v>
      </c>
      <c r="F225" s="19" t="s">
        <v>1765</v>
      </c>
      <c r="G225" s="19"/>
      <c r="H225" s="19" t="s">
        <v>1766</v>
      </c>
      <c r="I225" s="19" t="s">
        <v>1113</v>
      </c>
      <c r="J225" s="19" t="s">
        <v>1767</v>
      </c>
      <c r="K225" s="19" t="s">
        <v>1768</v>
      </c>
      <c r="L225" s="19" t="s">
        <v>1769</v>
      </c>
      <c r="M225" s="19"/>
      <c r="N225" s="19"/>
      <c r="O225" s="19" t="s">
        <v>142</v>
      </c>
      <c r="P225" s="19" t="s">
        <v>143</v>
      </c>
      <c r="Q225" s="19"/>
      <c r="R225" s="19"/>
      <c r="S225" s="19"/>
      <c r="T225" s="19"/>
    </row>
    <row r="226" customFormat="false" ht="23.85" hidden="false" customHeight="false" outlineLevel="0" collapsed="false">
      <c r="A226" s="18" t="s">
        <v>1770</v>
      </c>
      <c r="B226" s="18" t="s">
        <v>80</v>
      </c>
      <c r="C226" s="18" t="s">
        <v>81</v>
      </c>
      <c r="D226" s="18" t="s">
        <v>34</v>
      </c>
      <c r="E226" s="18" t="s">
        <v>17</v>
      </c>
      <c r="F226" s="19" t="s">
        <v>1771</v>
      </c>
      <c r="G226" s="19"/>
      <c r="H226" s="19" t="s">
        <v>1772</v>
      </c>
      <c r="I226" s="19" t="s">
        <v>1773</v>
      </c>
      <c r="J226" s="19" t="s">
        <v>1774</v>
      </c>
      <c r="K226" s="19" t="s">
        <v>1775</v>
      </c>
      <c r="L226" s="19" t="s">
        <v>1776</v>
      </c>
      <c r="M226" s="19"/>
      <c r="N226" s="19"/>
      <c r="O226" s="19" t="s">
        <v>142</v>
      </c>
      <c r="P226" s="19" t="s">
        <v>143</v>
      </c>
      <c r="Q226" s="19"/>
      <c r="R226" s="19"/>
      <c r="S226" s="19"/>
      <c r="T226" s="19"/>
    </row>
    <row r="227" customFormat="false" ht="46.25" hidden="false" customHeight="false" outlineLevel="0" collapsed="false">
      <c r="A227" s="18" t="s">
        <v>1777</v>
      </c>
      <c r="B227" s="18" t="s">
        <v>80</v>
      </c>
      <c r="C227" s="18" t="s">
        <v>81</v>
      </c>
      <c r="D227" s="18" t="s">
        <v>34</v>
      </c>
      <c r="E227" s="18" t="s">
        <v>17</v>
      </c>
      <c r="F227" s="19" t="s">
        <v>1778</v>
      </c>
      <c r="G227" s="19"/>
      <c r="H227" s="19" t="s">
        <v>1779</v>
      </c>
      <c r="I227" s="19" t="s">
        <v>1780</v>
      </c>
      <c r="J227" s="19" t="s">
        <v>1781</v>
      </c>
      <c r="K227" s="19" t="s">
        <v>1782</v>
      </c>
      <c r="L227" s="19" t="s">
        <v>1783</v>
      </c>
      <c r="M227" s="19"/>
      <c r="N227" s="19"/>
      <c r="O227" s="19" t="s">
        <v>142</v>
      </c>
      <c r="P227" s="19" t="s">
        <v>143</v>
      </c>
      <c r="Q227" s="19"/>
      <c r="R227" s="19"/>
      <c r="S227" s="19"/>
      <c r="T227" s="19"/>
    </row>
    <row r="228" customFormat="false" ht="53.7" hidden="false" customHeight="false" outlineLevel="0" collapsed="false">
      <c r="A228" s="18" t="s">
        <v>1784</v>
      </c>
      <c r="B228" s="18" t="s">
        <v>80</v>
      </c>
      <c r="C228" s="18" t="s">
        <v>81</v>
      </c>
      <c r="D228" s="18" t="s">
        <v>34</v>
      </c>
      <c r="E228" s="18" t="s">
        <v>17</v>
      </c>
      <c r="F228" s="19" t="s">
        <v>1785</v>
      </c>
      <c r="G228" s="20" t="s">
        <v>1786</v>
      </c>
      <c r="H228" s="19" t="s">
        <v>1787</v>
      </c>
      <c r="I228" s="19" t="s">
        <v>1788</v>
      </c>
      <c r="J228" s="19" t="s">
        <v>1789</v>
      </c>
      <c r="K228" s="19" t="s">
        <v>1790</v>
      </c>
      <c r="L228" s="19" t="s">
        <v>1791</v>
      </c>
      <c r="M228" s="19"/>
      <c r="N228" s="19"/>
      <c r="O228" s="19" t="s">
        <v>142</v>
      </c>
      <c r="P228" s="19" t="s">
        <v>143</v>
      </c>
      <c r="Q228" s="19"/>
      <c r="R228" s="19"/>
      <c r="S228" s="19"/>
      <c r="T228" s="19"/>
    </row>
    <row r="229" customFormat="false" ht="35.05" hidden="false" customHeight="false" outlineLevel="0" collapsed="false">
      <c r="A229" s="18" t="s">
        <v>1792</v>
      </c>
      <c r="B229" s="18" t="s">
        <v>80</v>
      </c>
      <c r="C229" s="18" t="s">
        <v>81</v>
      </c>
      <c r="D229" s="18" t="s">
        <v>35</v>
      </c>
      <c r="E229" s="18" t="s">
        <v>17</v>
      </c>
      <c r="F229" s="19" t="s">
        <v>1793</v>
      </c>
      <c r="G229" s="19"/>
      <c r="H229" s="19" t="s">
        <v>1794</v>
      </c>
      <c r="I229" s="19" t="s">
        <v>1795</v>
      </c>
      <c r="J229" s="19" t="s">
        <v>1796</v>
      </c>
      <c r="K229" s="19" t="s">
        <v>1797</v>
      </c>
      <c r="L229" s="19" t="s">
        <v>1798</v>
      </c>
      <c r="M229" s="19"/>
      <c r="N229" s="19"/>
      <c r="O229" s="19" t="s">
        <v>142</v>
      </c>
      <c r="P229" s="19" t="s">
        <v>143</v>
      </c>
      <c r="Q229" s="19"/>
      <c r="R229" s="19"/>
      <c r="S229" s="19"/>
      <c r="T229" s="19"/>
    </row>
    <row r="230" customFormat="false" ht="23.85" hidden="false" customHeight="false" outlineLevel="0" collapsed="false">
      <c r="A230" s="18" t="s">
        <v>1799</v>
      </c>
      <c r="B230" s="18" t="s">
        <v>80</v>
      </c>
      <c r="C230" s="18" t="s">
        <v>81</v>
      </c>
      <c r="D230" s="18" t="s">
        <v>35</v>
      </c>
      <c r="E230" s="18" t="s">
        <v>17</v>
      </c>
      <c r="F230" s="19" t="s">
        <v>1800</v>
      </c>
      <c r="G230" s="19"/>
      <c r="H230" s="19" t="s">
        <v>1801</v>
      </c>
      <c r="I230" s="19" t="s">
        <v>1802</v>
      </c>
      <c r="J230" s="19" t="s">
        <v>1803</v>
      </c>
      <c r="K230" s="19" t="s">
        <v>1804</v>
      </c>
      <c r="L230" s="19" t="s">
        <v>1805</v>
      </c>
      <c r="M230" s="19"/>
      <c r="N230" s="19"/>
      <c r="O230" s="19" t="s">
        <v>142</v>
      </c>
      <c r="P230" s="19" t="s">
        <v>143</v>
      </c>
      <c r="Q230" s="19"/>
      <c r="R230" s="19"/>
      <c r="S230" s="19"/>
      <c r="T230" s="19"/>
    </row>
    <row r="231" customFormat="false" ht="35.05" hidden="false" customHeight="false" outlineLevel="0" collapsed="false">
      <c r="A231" s="18" t="s">
        <v>1806</v>
      </c>
      <c r="B231" s="18" t="s">
        <v>80</v>
      </c>
      <c r="C231" s="18" t="s">
        <v>81</v>
      </c>
      <c r="D231" s="18" t="s">
        <v>35</v>
      </c>
      <c r="E231" s="18" t="s">
        <v>17</v>
      </c>
      <c r="F231" s="19" t="s">
        <v>1807</v>
      </c>
      <c r="G231" s="19"/>
      <c r="H231" s="19" t="s">
        <v>1808</v>
      </c>
      <c r="I231" s="19" t="s">
        <v>1809</v>
      </c>
      <c r="J231" s="19" t="s">
        <v>1810</v>
      </c>
      <c r="K231" s="19" t="s">
        <v>1811</v>
      </c>
      <c r="L231" s="19" t="s">
        <v>1812</v>
      </c>
      <c r="M231" s="19"/>
      <c r="N231" s="19"/>
      <c r="O231" s="19" t="s">
        <v>142</v>
      </c>
      <c r="P231" s="19" t="s">
        <v>143</v>
      </c>
      <c r="Q231" s="19"/>
      <c r="R231" s="19"/>
      <c r="S231" s="19"/>
      <c r="T231" s="19"/>
    </row>
    <row r="232" customFormat="false" ht="116.4" hidden="false" customHeight="false" outlineLevel="0" collapsed="false">
      <c r="A232" s="18" t="s">
        <v>1813</v>
      </c>
      <c r="B232" s="18" t="s">
        <v>80</v>
      </c>
      <c r="C232" s="18" t="s">
        <v>81</v>
      </c>
      <c r="D232" s="18" t="s">
        <v>35</v>
      </c>
      <c r="E232" s="18" t="s">
        <v>17</v>
      </c>
      <c r="F232" s="19" t="s">
        <v>1814</v>
      </c>
      <c r="G232" s="20" t="s">
        <v>1815</v>
      </c>
      <c r="H232" s="19" t="s">
        <v>1816</v>
      </c>
      <c r="I232" s="19" t="s">
        <v>1817</v>
      </c>
      <c r="J232" s="19" t="s">
        <v>1818</v>
      </c>
      <c r="K232" s="19" t="s">
        <v>1819</v>
      </c>
      <c r="L232" s="19" t="s">
        <v>1820</v>
      </c>
      <c r="M232" s="19"/>
      <c r="N232" s="19"/>
      <c r="O232" s="19" t="s">
        <v>142</v>
      </c>
      <c r="P232" s="19" t="s">
        <v>143</v>
      </c>
      <c r="Q232" s="19"/>
      <c r="R232" s="19"/>
      <c r="S232" s="19"/>
      <c r="T232" s="19"/>
    </row>
    <row r="233" customFormat="false" ht="23.85" hidden="false" customHeight="false" outlineLevel="0" collapsed="false">
      <c r="A233" s="18" t="s">
        <v>1821</v>
      </c>
      <c r="B233" s="18" t="s">
        <v>80</v>
      </c>
      <c r="C233" s="18" t="s">
        <v>83</v>
      </c>
      <c r="D233" s="18" t="s">
        <v>33</v>
      </c>
      <c r="E233" s="18" t="s">
        <v>17</v>
      </c>
      <c r="F233" s="19" t="s">
        <v>1822</v>
      </c>
      <c r="G233" s="19"/>
      <c r="H233" s="19" t="s">
        <v>1823</v>
      </c>
      <c r="I233" s="19" t="s">
        <v>1640</v>
      </c>
      <c r="J233" s="19" t="s">
        <v>1824</v>
      </c>
      <c r="K233" s="19" t="s">
        <v>1825</v>
      </c>
      <c r="L233" s="19" t="s">
        <v>1826</v>
      </c>
      <c r="M233" s="19"/>
      <c r="N233" s="19"/>
      <c r="O233" s="19" t="s">
        <v>142</v>
      </c>
      <c r="P233" s="19" t="s">
        <v>143</v>
      </c>
      <c r="Q233" s="19"/>
      <c r="R233" s="19"/>
      <c r="S233" s="19"/>
      <c r="T233" s="19"/>
    </row>
    <row r="234" customFormat="false" ht="23.85" hidden="false" customHeight="false" outlineLevel="0" collapsed="false">
      <c r="A234" s="18" t="s">
        <v>1827</v>
      </c>
      <c r="B234" s="18" t="s">
        <v>80</v>
      </c>
      <c r="C234" s="18" t="s">
        <v>83</v>
      </c>
      <c r="D234" s="18" t="s">
        <v>33</v>
      </c>
      <c r="E234" s="18" t="s">
        <v>17</v>
      </c>
      <c r="F234" s="19" t="s">
        <v>1828</v>
      </c>
      <c r="G234" s="19"/>
      <c r="H234" s="19" t="s">
        <v>1829</v>
      </c>
      <c r="I234" s="19" t="s">
        <v>1830</v>
      </c>
      <c r="J234" s="19" t="s">
        <v>1831</v>
      </c>
      <c r="K234" s="19" t="s">
        <v>454</v>
      </c>
      <c r="L234" s="19" t="s">
        <v>1832</v>
      </c>
      <c r="M234" s="19"/>
      <c r="N234" s="19"/>
      <c r="O234" s="19" t="s">
        <v>142</v>
      </c>
      <c r="P234" s="19" t="s">
        <v>143</v>
      </c>
      <c r="Q234" s="19"/>
      <c r="R234" s="19"/>
      <c r="S234" s="19"/>
      <c r="T234" s="19"/>
    </row>
    <row r="235" customFormat="false" ht="23.85" hidden="false" customHeight="false" outlineLevel="0" collapsed="false">
      <c r="A235" s="18" t="s">
        <v>1833</v>
      </c>
      <c r="B235" s="18" t="s">
        <v>80</v>
      </c>
      <c r="C235" s="18" t="s">
        <v>83</v>
      </c>
      <c r="D235" s="18" t="s">
        <v>33</v>
      </c>
      <c r="E235" s="18" t="s">
        <v>19</v>
      </c>
      <c r="F235" s="19" t="s">
        <v>1834</v>
      </c>
      <c r="G235" s="19"/>
      <c r="H235" s="19" t="s">
        <v>1835</v>
      </c>
      <c r="I235" s="19" t="s">
        <v>1836</v>
      </c>
      <c r="J235" s="19" t="s">
        <v>1837</v>
      </c>
      <c r="K235" s="19" t="s">
        <v>1838</v>
      </c>
      <c r="L235" s="19" t="s">
        <v>1839</v>
      </c>
      <c r="M235" s="19"/>
      <c r="N235" s="19"/>
      <c r="O235" s="19" t="s">
        <v>142</v>
      </c>
      <c r="P235" s="19" t="s">
        <v>143</v>
      </c>
      <c r="Q235" s="19"/>
      <c r="R235" s="19"/>
      <c r="S235" s="19"/>
      <c r="T235" s="19"/>
    </row>
    <row r="236" customFormat="false" ht="23.85" hidden="false" customHeight="false" outlineLevel="0" collapsed="false">
      <c r="A236" s="18" t="s">
        <v>1840</v>
      </c>
      <c r="B236" s="18" t="s">
        <v>80</v>
      </c>
      <c r="C236" s="18" t="s">
        <v>83</v>
      </c>
      <c r="D236" s="18" t="s">
        <v>33</v>
      </c>
      <c r="E236" s="18" t="s">
        <v>17</v>
      </c>
      <c r="F236" s="19" t="s">
        <v>1841</v>
      </c>
      <c r="G236" s="20" t="s">
        <v>1842</v>
      </c>
      <c r="H236" s="19" t="s">
        <v>1843</v>
      </c>
      <c r="I236" s="19" t="s">
        <v>1844</v>
      </c>
      <c r="J236" s="19" t="s">
        <v>1845</v>
      </c>
      <c r="K236" s="19" t="s">
        <v>1846</v>
      </c>
      <c r="L236" s="19" t="s">
        <v>1847</v>
      </c>
      <c r="M236" s="19"/>
      <c r="N236" s="19"/>
      <c r="O236" s="19" t="s">
        <v>142</v>
      </c>
      <c r="P236" s="19" t="s">
        <v>143</v>
      </c>
      <c r="Q236" s="19"/>
      <c r="R236" s="19"/>
      <c r="S236" s="19"/>
      <c r="T236" s="19"/>
    </row>
    <row r="237" customFormat="false" ht="35.05" hidden="false" customHeight="false" outlineLevel="0" collapsed="false">
      <c r="A237" s="18" t="s">
        <v>1848</v>
      </c>
      <c r="B237" s="18" t="s">
        <v>80</v>
      </c>
      <c r="C237" s="18" t="s">
        <v>83</v>
      </c>
      <c r="D237" s="18" t="s">
        <v>34</v>
      </c>
      <c r="E237" s="18" t="s">
        <v>17</v>
      </c>
      <c r="F237" s="19" t="s">
        <v>1849</v>
      </c>
      <c r="G237" s="19"/>
      <c r="H237" s="19" t="s">
        <v>1850</v>
      </c>
      <c r="I237" s="19" t="s">
        <v>1851</v>
      </c>
      <c r="J237" s="19" t="s">
        <v>1852</v>
      </c>
      <c r="K237" s="19" t="s">
        <v>1853</v>
      </c>
      <c r="L237" s="19" t="s">
        <v>1854</v>
      </c>
      <c r="M237" s="19"/>
      <c r="N237" s="19"/>
      <c r="O237" s="19" t="s">
        <v>142</v>
      </c>
      <c r="P237" s="19" t="s">
        <v>143</v>
      </c>
      <c r="Q237" s="19"/>
      <c r="R237" s="19"/>
      <c r="S237" s="19"/>
      <c r="T237" s="19"/>
    </row>
    <row r="238" customFormat="false" ht="23.85" hidden="false" customHeight="false" outlineLevel="0" collapsed="false">
      <c r="A238" s="18" t="s">
        <v>1855</v>
      </c>
      <c r="B238" s="18" t="s">
        <v>80</v>
      </c>
      <c r="C238" s="18" t="s">
        <v>83</v>
      </c>
      <c r="D238" s="18" t="s">
        <v>34</v>
      </c>
      <c r="E238" s="18" t="s">
        <v>17</v>
      </c>
      <c r="F238" s="19" t="s">
        <v>1856</v>
      </c>
      <c r="G238" s="19"/>
      <c r="H238" s="19" t="s">
        <v>1857</v>
      </c>
      <c r="I238" s="19" t="s">
        <v>1113</v>
      </c>
      <c r="J238" s="19" t="s">
        <v>1858</v>
      </c>
      <c r="K238" s="19" t="s">
        <v>1859</v>
      </c>
      <c r="L238" s="19" t="s">
        <v>1860</v>
      </c>
      <c r="M238" s="19"/>
      <c r="N238" s="19"/>
      <c r="O238" s="19" t="s">
        <v>142</v>
      </c>
      <c r="P238" s="19" t="s">
        <v>143</v>
      </c>
      <c r="Q238" s="19"/>
      <c r="R238" s="19"/>
      <c r="S238" s="19"/>
      <c r="T238" s="19"/>
    </row>
    <row r="239" customFormat="false" ht="23.85" hidden="false" customHeight="false" outlineLevel="0" collapsed="false">
      <c r="A239" s="18" t="s">
        <v>1861</v>
      </c>
      <c r="B239" s="18" t="s">
        <v>80</v>
      </c>
      <c r="C239" s="18" t="s">
        <v>83</v>
      </c>
      <c r="D239" s="18" t="s">
        <v>34</v>
      </c>
      <c r="E239" s="18" t="s">
        <v>17</v>
      </c>
      <c r="F239" s="19" t="s">
        <v>1862</v>
      </c>
      <c r="G239" s="19"/>
      <c r="H239" s="19" t="s">
        <v>1863</v>
      </c>
      <c r="I239" s="19" t="s">
        <v>1864</v>
      </c>
      <c r="J239" s="19" t="s">
        <v>1865</v>
      </c>
      <c r="K239" s="19" t="s">
        <v>1866</v>
      </c>
      <c r="L239" s="19" t="s">
        <v>1867</v>
      </c>
      <c r="M239" s="19"/>
      <c r="N239" s="19"/>
      <c r="O239" s="19" t="s">
        <v>142</v>
      </c>
      <c r="P239" s="19" t="s">
        <v>143</v>
      </c>
      <c r="Q239" s="19"/>
      <c r="R239" s="19"/>
      <c r="S239" s="19"/>
      <c r="T239" s="19"/>
    </row>
    <row r="240" customFormat="false" ht="23.85" hidden="false" customHeight="false" outlineLevel="0" collapsed="false">
      <c r="A240" s="18" t="s">
        <v>1868</v>
      </c>
      <c r="B240" s="18" t="s">
        <v>80</v>
      </c>
      <c r="C240" s="18" t="s">
        <v>83</v>
      </c>
      <c r="D240" s="18" t="s">
        <v>34</v>
      </c>
      <c r="E240" s="18" t="s">
        <v>17</v>
      </c>
      <c r="F240" s="19" t="s">
        <v>1869</v>
      </c>
      <c r="G240" s="20" t="s">
        <v>1870</v>
      </c>
      <c r="H240" s="19" t="s">
        <v>1871</v>
      </c>
      <c r="I240" s="19" t="s">
        <v>1872</v>
      </c>
      <c r="J240" s="19" t="s">
        <v>1873</v>
      </c>
      <c r="K240" s="19" t="s">
        <v>1874</v>
      </c>
      <c r="L240" s="19" t="s">
        <v>1875</v>
      </c>
      <c r="M240" s="19"/>
      <c r="N240" s="19"/>
      <c r="O240" s="19" t="s">
        <v>142</v>
      </c>
      <c r="P240" s="19" t="s">
        <v>143</v>
      </c>
      <c r="Q240" s="19"/>
      <c r="R240" s="19"/>
      <c r="S240" s="19"/>
      <c r="T240" s="19"/>
    </row>
    <row r="241" customFormat="false" ht="23.85" hidden="false" customHeight="false" outlineLevel="0" collapsed="false">
      <c r="A241" s="18" t="s">
        <v>1876</v>
      </c>
      <c r="B241" s="18" t="s">
        <v>80</v>
      </c>
      <c r="C241" s="18" t="s">
        <v>83</v>
      </c>
      <c r="D241" s="18" t="s">
        <v>35</v>
      </c>
      <c r="E241" s="18" t="s">
        <v>17</v>
      </c>
      <c r="F241" s="19" t="s">
        <v>1877</v>
      </c>
      <c r="G241" s="19"/>
      <c r="H241" s="19" t="s">
        <v>1878</v>
      </c>
      <c r="I241" s="19" t="s">
        <v>1879</v>
      </c>
      <c r="J241" s="19" t="s">
        <v>1880</v>
      </c>
      <c r="K241" s="19" t="s">
        <v>1881</v>
      </c>
      <c r="L241" s="19" t="s">
        <v>1882</v>
      </c>
      <c r="M241" s="19"/>
      <c r="N241" s="19"/>
      <c r="O241" s="19" t="s">
        <v>142</v>
      </c>
      <c r="P241" s="19" t="s">
        <v>143</v>
      </c>
      <c r="Q241" s="19"/>
      <c r="R241" s="19"/>
      <c r="S241" s="19"/>
      <c r="T241" s="19"/>
    </row>
    <row r="242" customFormat="false" ht="23.85" hidden="false" customHeight="false" outlineLevel="0" collapsed="false">
      <c r="A242" s="18" t="s">
        <v>1883</v>
      </c>
      <c r="B242" s="18" t="s">
        <v>80</v>
      </c>
      <c r="C242" s="18" t="s">
        <v>83</v>
      </c>
      <c r="D242" s="18" t="s">
        <v>35</v>
      </c>
      <c r="E242" s="18" t="s">
        <v>17</v>
      </c>
      <c r="F242" s="19" t="s">
        <v>1884</v>
      </c>
      <c r="G242" s="19"/>
      <c r="H242" s="19" t="s">
        <v>1885</v>
      </c>
      <c r="I242" s="19" t="s">
        <v>1886</v>
      </c>
      <c r="J242" s="19" t="s">
        <v>1887</v>
      </c>
      <c r="K242" s="19" t="s">
        <v>1888</v>
      </c>
      <c r="L242" s="19" t="s">
        <v>1889</v>
      </c>
      <c r="M242" s="19"/>
      <c r="N242" s="19"/>
      <c r="O242" s="19" t="s">
        <v>142</v>
      </c>
      <c r="P242" s="19" t="s">
        <v>143</v>
      </c>
      <c r="Q242" s="19"/>
      <c r="R242" s="19"/>
      <c r="S242" s="19"/>
      <c r="T242" s="19"/>
    </row>
    <row r="243" customFormat="false" ht="23.85" hidden="false" customHeight="false" outlineLevel="0" collapsed="false">
      <c r="A243" s="18" t="s">
        <v>1890</v>
      </c>
      <c r="B243" s="18" t="s">
        <v>80</v>
      </c>
      <c r="C243" s="18" t="s">
        <v>83</v>
      </c>
      <c r="D243" s="18" t="s">
        <v>35</v>
      </c>
      <c r="E243" s="18" t="s">
        <v>17</v>
      </c>
      <c r="F243" s="19" t="s">
        <v>1891</v>
      </c>
      <c r="G243" s="19"/>
      <c r="H243" s="19" t="s">
        <v>1892</v>
      </c>
      <c r="I243" s="19" t="s">
        <v>1893</v>
      </c>
      <c r="J243" s="19" t="s">
        <v>1894</v>
      </c>
      <c r="K243" s="19" t="s">
        <v>1895</v>
      </c>
      <c r="L243" s="19" t="s">
        <v>1896</v>
      </c>
      <c r="M243" s="19"/>
      <c r="N243" s="19"/>
      <c r="O243" s="19" t="s">
        <v>142</v>
      </c>
      <c r="P243" s="19" t="s">
        <v>143</v>
      </c>
      <c r="Q243" s="19"/>
      <c r="R243" s="19"/>
      <c r="S243" s="19"/>
      <c r="T243" s="19"/>
    </row>
    <row r="244" customFormat="false" ht="32.8" hidden="false" customHeight="false" outlineLevel="0" collapsed="false">
      <c r="A244" s="18" t="s">
        <v>1897</v>
      </c>
      <c r="B244" s="18" t="s">
        <v>80</v>
      </c>
      <c r="C244" s="18" t="s">
        <v>83</v>
      </c>
      <c r="D244" s="18" t="s">
        <v>35</v>
      </c>
      <c r="E244" s="18" t="s">
        <v>17</v>
      </c>
      <c r="F244" s="19" t="s">
        <v>1898</v>
      </c>
      <c r="G244" s="20" t="s">
        <v>1899</v>
      </c>
      <c r="H244" s="19" t="s">
        <v>1900</v>
      </c>
      <c r="I244" s="19" t="s">
        <v>1901</v>
      </c>
      <c r="J244" s="19" t="s">
        <v>1902</v>
      </c>
      <c r="K244" s="19" t="s">
        <v>1903</v>
      </c>
      <c r="L244" s="19" t="s">
        <v>1904</v>
      </c>
      <c r="M244" s="19"/>
      <c r="N244" s="19"/>
      <c r="O244" s="19" t="s">
        <v>142</v>
      </c>
      <c r="P244" s="19" t="s">
        <v>143</v>
      </c>
      <c r="Q244" s="19"/>
      <c r="R244" s="19"/>
      <c r="S244" s="19"/>
      <c r="T244" s="19"/>
    </row>
    <row r="245" customFormat="false" ht="35.05" hidden="false" customHeight="false" outlineLevel="0" collapsed="false">
      <c r="A245" s="18" t="s">
        <v>1905</v>
      </c>
      <c r="B245" s="18" t="s">
        <v>80</v>
      </c>
      <c r="C245" s="18" t="s">
        <v>85</v>
      </c>
      <c r="D245" s="18" t="s">
        <v>33</v>
      </c>
      <c r="E245" s="18" t="s">
        <v>17</v>
      </c>
      <c r="F245" s="19" t="s">
        <v>1906</v>
      </c>
      <c r="G245" s="19"/>
      <c r="H245" s="19" t="s">
        <v>1907</v>
      </c>
      <c r="I245" s="19" t="s">
        <v>1908</v>
      </c>
      <c r="J245" s="19" t="s">
        <v>1909</v>
      </c>
      <c r="K245" s="19" t="s">
        <v>1910</v>
      </c>
      <c r="L245" s="19" t="s">
        <v>1911</v>
      </c>
      <c r="M245" s="19"/>
      <c r="N245" s="19"/>
      <c r="O245" s="19" t="s">
        <v>142</v>
      </c>
      <c r="P245" s="19" t="s">
        <v>143</v>
      </c>
      <c r="Q245" s="19"/>
      <c r="R245" s="19"/>
      <c r="S245" s="19"/>
      <c r="T245" s="19"/>
    </row>
    <row r="246" customFormat="false" ht="23.85" hidden="false" customHeight="false" outlineLevel="0" collapsed="false">
      <c r="A246" s="18" t="s">
        <v>1912</v>
      </c>
      <c r="B246" s="18" t="s">
        <v>80</v>
      </c>
      <c r="C246" s="18" t="s">
        <v>85</v>
      </c>
      <c r="D246" s="18" t="s">
        <v>33</v>
      </c>
      <c r="E246" s="18" t="s">
        <v>19</v>
      </c>
      <c r="F246" s="19" t="s">
        <v>1913</v>
      </c>
      <c r="G246" s="19"/>
      <c r="H246" s="19" t="s">
        <v>1914</v>
      </c>
      <c r="I246" s="19" t="s">
        <v>1915</v>
      </c>
      <c r="J246" s="19" t="s">
        <v>1916</v>
      </c>
      <c r="K246" s="19" t="s">
        <v>1917</v>
      </c>
      <c r="L246" s="19" t="s">
        <v>1918</v>
      </c>
      <c r="M246" s="19"/>
      <c r="N246" s="19"/>
      <c r="O246" s="19" t="s">
        <v>142</v>
      </c>
      <c r="P246" s="19" t="s">
        <v>143</v>
      </c>
      <c r="Q246" s="19"/>
      <c r="R246" s="19"/>
      <c r="S246" s="19"/>
      <c r="T246" s="19"/>
    </row>
    <row r="247" customFormat="false" ht="35.05" hidden="false" customHeight="false" outlineLevel="0" collapsed="false">
      <c r="A247" s="18" t="s">
        <v>1919</v>
      </c>
      <c r="B247" s="18" t="s">
        <v>80</v>
      </c>
      <c r="C247" s="18" t="s">
        <v>85</v>
      </c>
      <c r="D247" s="18" t="s">
        <v>33</v>
      </c>
      <c r="E247" s="18" t="s">
        <v>17</v>
      </c>
      <c r="F247" s="19" t="s">
        <v>1920</v>
      </c>
      <c r="G247" s="19"/>
      <c r="H247" s="19" t="s">
        <v>1921</v>
      </c>
      <c r="I247" s="19" t="s">
        <v>1113</v>
      </c>
      <c r="J247" s="19" t="s">
        <v>1922</v>
      </c>
      <c r="K247" s="19" t="s">
        <v>1923</v>
      </c>
      <c r="L247" s="19" t="s">
        <v>1924</v>
      </c>
      <c r="M247" s="19"/>
      <c r="N247" s="19"/>
      <c r="O247" s="19" t="s">
        <v>142</v>
      </c>
      <c r="P247" s="19" t="s">
        <v>143</v>
      </c>
      <c r="Q247" s="19"/>
      <c r="R247" s="19"/>
      <c r="S247" s="19"/>
      <c r="T247" s="19"/>
    </row>
    <row r="248" customFormat="false" ht="53.7" hidden="false" customHeight="false" outlineLevel="0" collapsed="false">
      <c r="A248" s="18" t="s">
        <v>1925</v>
      </c>
      <c r="B248" s="18" t="s">
        <v>80</v>
      </c>
      <c r="C248" s="18" t="s">
        <v>85</v>
      </c>
      <c r="D248" s="18" t="s">
        <v>33</v>
      </c>
      <c r="E248" s="18" t="s">
        <v>17</v>
      </c>
      <c r="F248" s="19" t="s">
        <v>1926</v>
      </c>
      <c r="G248" s="20" t="s">
        <v>1927</v>
      </c>
      <c r="H248" s="19" t="s">
        <v>1928</v>
      </c>
      <c r="I248" s="19" t="s">
        <v>1929</v>
      </c>
      <c r="J248" s="19" t="s">
        <v>1930</v>
      </c>
      <c r="K248" s="19" t="s">
        <v>1931</v>
      </c>
      <c r="L248" s="19" t="s">
        <v>1932</v>
      </c>
      <c r="M248" s="19"/>
      <c r="N248" s="19"/>
      <c r="O248" s="19" t="s">
        <v>142</v>
      </c>
      <c r="P248" s="19" t="s">
        <v>143</v>
      </c>
      <c r="Q248" s="19"/>
      <c r="R248" s="19"/>
      <c r="S248" s="19"/>
      <c r="T248" s="19"/>
    </row>
    <row r="249" customFormat="false" ht="23.85" hidden="false" customHeight="false" outlineLevel="0" collapsed="false">
      <c r="A249" s="18" t="s">
        <v>1933</v>
      </c>
      <c r="B249" s="18" t="s">
        <v>80</v>
      </c>
      <c r="C249" s="18" t="s">
        <v>85</v>
      </c>
      <c r="D249" s="18" t="s">
        <v>34</v>
      </c>
      <c r="E249" s="18" t="s">
        <v>17</v>
      </c>
      <c r="F249" s="19" t="s">
        <v>1934</v>
      </c>
      <c r="G249" s="19"/>
      <c r="H249" s="19" t="s">
        <v>1935</v>
      </c>
      <c r="I249" s="19" t="s">
        <v>1936</v>
      </c>
      <c r="J249" s="19" t="s">
        <v>1937</v>
      </c>
      <c r="K249" s="19" t="s">
        <v>900</v>
      </c>
      <c r="L249" s="19" t="s">
        <v>1938</v>
      </c>
      <c r="M249" s="19"/>
      <c r="N249" s="19"/>
      <c r="O249" s="19" t="s">
        <v>142</v>
      </c>
      <c r="P249" s="19" t="s">
        <v>143</v>
      </c>
      <c r="Q249" s="19"/>
      <c r="R249" s="19"/>
      <c r="S249" s="19"/>
      <c r="T249" s="19"/>
    </row>
    <row r="250" customFormat="false" ht="23.85" hidden="false" customHeight="false" outlineLevel="0" collapsed="false">
      <c r="A250" s="18" t="s">
        <v>1939</v>
      </c>
      <c r="B250" s="18" t="s">
        <v>80</v>
      </c>
      <c r="C250" s="18" t="s">
        <v>85</v>
      </c>
      <c r="D250" s="18" t="s">
        <v>34</v>
      </c>
      <c r="E250" s="18" t="s">
        <v>17</v>
      </c>
      <c r="F250" s="19" t="s">
        <v>1940</v>
      </c>
      <c r="G250" s="19"/>
      <c r="H250" s="19" t="s">
        <v>1941</v>
      </c>
      <c r="I250" s="19" t="s">
        <v>1909</v>
      </c>
      <c r="J250" s="19" t="s">
        <v>1942</v>
      </c>
      <c r="K250" s="19" t="s">
        <v>1943</v>
      </c>
      <c r="L250" s="19" t="s">
        <v>1944</v>
      </c>
      <c r="M250" s="19"/>
      <c r="N250" s="19"/>
      <c r="O250" s="19" t="s">
        <v>142</v>
      </c>
      <c r="P250" s="19" t="s">
        <v>143</v>
      </c>
      <c r="Q250" s="19"/>
      <c r="R250" s="19"/>
      <c r="S250" s="19"/>
      <c r="T250" s="19"/>
    </row>
    <row r="251" customFormat="false" ht="23.85" hidden="false" customHeight="false" outlineLevel="0" collapsed="false">
      <c r="A251" s="18" t="s">
        <v>1945</v>
      </c>
      <c r="B251" s="18" t="s">
        <v>80</v>
      </c>
      <c r="C251" s="18" t="s">
        <v>85</v>
      </c>
      <c r="D251" s="18" t="s">
        <v>34</v>
      </c>
      <c r="E251" s="18" t="s">
        <v>17</v>
      </c>
      <c r="F251" s="19" t="s">
        <v>1946</v>
      </c>
      <c r="G251" s="19"/>
      <c r="H251" s="19" t="s">
        <v>1947</v>
      </c>
      <c r="I251" s="19" t="s">
        <v>1948</v>
      </c>
      <c r="J251" s="19" t="s">
        <v>1949</v>
      </c>
      <c r="K251" s="19" t="s">
        <v>1950</v>
      </c>
      <c r="L251" s="19" t="s">
        <v>1951</v>
      </c>
      <c r="M251" s="19"/>
      <c r="N251" s="19"/>
      <c r="O251" s="19" t="s">
        <v>142</v>
      </c>
      <c r="P251" s="19" t="s">
        <v>143</v>
      </c>
      <c r="Q251" s="19"/>
      <c r="R251" s="19"/>
      <c r="S251" s="19"/>
      <c r="T251" s="19"/>
    </row>
    <row r="252" customFormat="false" ht="23.85" hidden="false" customHeight="false" outlineLevel="0" collapsed="false">
      <c r="A252" s="18" t="s">
        <v>1952</v>
      </c>
      <c r="B252" s="18" t="s">
        <v>80</v>
      </c>
      <c r="C252" s="18" t="s">
        <v>85</v>
      </c>
      <c r="D252" s="18" t="s">
        <v>34</v>
      </c>
      <c r="E252" s="18" t="s">
        <v>17</v>
      </c>
      <c r="F252" s="19" t="s">
        <v>1757</v>
      </c>
      <c r="G252" s="20" t="s">
        <v>1953</v>
      </c>
      <c r="H252" s="19" t="s">
        <v>1954</v>
      </c>
      <c r="I252" s="19" t="s">
        <v>1955</v>
      </c>
      <c r="J252" s="19" t="s">
        <v>1956</v>
      </c>
      <c r="K252" s="19" t="s">
        <v>1957</v>
      </c>
      <c r="L252" s="19" t="s">
        <v>1958</v>
      </c>
      <c r="M252" s="19"/>
      <c r="N252" s="19"/>
      <c r="O252" s="19" t="s">
        <v>142</v>
      </c>
      <c r="P252" s="19" t="s">
        <v>143</v>
      </c>
      <c r="Q252" s="19"/>
      <c r="R252" s="19"/>
      <c r="S252" s="19"/>
      <c r="T252" s="19"/>
    </row>
    <row r="253" customFormat="false" ht="23.85" hidden="false" customHeight="false" outlineLevel="0" collapsed="false">
      <c r="A253" s="18" t="s">
        <v>1959</v>
      </c>
      <c r="B253" s="18" t="s">
        <v>80</v>
      </c>
      <c r="C253" s="18" t="s">
        <v>85</v>
      </c>
      <c r="D253" s="18" t="s">
        <v>35</v>
      </c>
      <c r="E253" s="18" t="s">
        <v>17</v>
      </c>
      <c r="F253" s="19" t="s">
        <v>1960</v>
      </c>
      <c r="G253" s="19"/>
      <c r="H253" s="19" t="s">
        <v>1961</v>
      </c>
      <c r="I253" s="19" t="s">
        <v>1113</v>
      </c>
      <c r="J253" s="19" t="s">
        <v>1962</v>
      </c>
      <c r="K253" s="19" t="s">
        <v>1963</v>
      </c>
      <c r="L253" s="19" t="s">
        <v>1964</v>
      </c>
      <c r="M253" s="19"/>
      <c r="N253" s="19"/>
      <c r="O253" s="19" t="s">
        <v>142</v>
      </c>
      <c r="P253" s="19" t="s">
        <v>143</v>
      </c>
      <c r="Q253" s="19"/>
      <c r="R253" s="19"/>
      <c r="S253" s="19"/>
      <c r="T253" s="19"/>
    </row>
    <row r="254" customFormat="false" ht="23.85" hidden="false" customHeight="false" outlineLevel="0" collapsed="false">
      <c r="A254" s="18" t="s">
        <v>1965</v>
      </c>
      <c r="B254" s="18" t="s">
        <v>80</v>
      </c>
      <c r="C254" s="18" t="s">
        <v>85</v>
      </c>
      <c r="D254" s="18" t="s">
        <v>35</v>
      </c>
      <c r="E254" s="18" t="s">
        <v>17</v>
      </c>
      <c r="F254" s="19" t="s">
        <v>1966</v>
      </c>
      <c r="G254" s="19"/>
      <c r="H254" s="19" t="s">
        <v>1967</v>
      </c>
      <c r="I254" s="19" t="s">
        <v>1968</v>
      </c>
      <c r="J254" s="19" t="s">
        <v>1969</v>
      </c>
      <c r="K254" s="19" t="s">
        <v>1970</v>
      </c>
      <c r="L254" s="19" t="s">
        <v>1971</v>
      </c>
      <c r="M254" s="19"/>
      <c r="N254" s="19"/>
      <c r="O254" s="19" t="s">
        <v>142</v>
      </c>
      <c r="P254" s="19" t="s">
        <v>143</v>
      </c>
      <c r="Q254" s="19"/>
      <c r="R254" s="19"/>
      <c r="S254" s="19"/>
      <c r="T254" s="19"/>
    </row>
    <row r="255" customFormat="false" ht="35.05" hidden="false" customHeight="false" outlineLevel="0" collapsed="false">
      <c r="A255" s="18" t="s">
        <v>1972</v>
      </c>
      <c r="B255" s="18" t="s">
        <v>80</v>
      </c>
      <c r="C255" s="18" t="s">
        <v>85</v>
      </c>
      <c r="D255" s="18" t="s">
        <v>35</v>
      </c>
      <c r="E255" s="18" t="s">
        <v>17</v>
      </c>
      <c r="F255" s="19" t="s">
        <v>1973</v>
      </c>
      <c r="G255" s="19"/>
      <c r="H255" s="19" t="s">
        <v>1974</v>
      </c>
      <c r="I255" s="19" t="s">
        <v>1975</v>
      </c>
      <c r="J255" s="19" t="s">
        <v>1976</v>
      </c>
      <c r="K255" s="19" t="s">
        <v>1977</v>
      </c>
      <c r="L255" s="19" t="s">
        <v>1978</v>
      </c>
      <c r="M255" s="19"/>
      <c r="N255" s="19"/>
      <c r="O255" s="19" t="s">
        <v>142</v>
      </c>
      <c r="P255" s="19" t="s">
        <v>143</v>
      </c>
      <c r="Q255" s="19"/>
      <c r="R255" s="19"/>
      <c r="S255" s="19"/>
      <c r="T255" s="19"/>
    </row>
    <row r="256" customFormat="false" ht="53.7" hidden="false" customHeight="false" outlineLevel="0" collapsed="false">
      <c r="A256" s="18" t="s">
        <v>1979</v>
      </c>
      <c r="B256" s="18" t="s">
        <v>80</v>
      </c>
      <c r="C256" s="18" t="s">
        <v>85</v>
      </c>
      <c r="D256" s="18" t="s">
        <v>35</v>
      </c>
      <c r="E256" s="18" t="s">
        <v>17</v>
      </c>
      <c r="F256" s="19" t="s">
        <v>1980</v>
      </c>
      <c r="G256" s="20" t="s">
        <v>1981</v>
      </c>
      <c r="H256" s="19" t="s">
        <v>1982</v>
      </c>
      <c r="I256" s="19" t="s">
        <v>1983</v>
      </c>
      <c r="J256" s="19" t="s">
        <v>1984</v>
      </c>
      <c r="K256" s="19" t="s">
        <v>399</v>
      </c>
      <c r="L256" s="19" t="s">
        <v>1985</v>
      </c>
      <c r="M256" s="19"/>
      <c r="N256" s="19"/>
      <c r="O256" s="19" t="s">
        <v>142</v>
      </c>
      <c r="P256" s="19" t="s">
        <v>143</v>
      </c>
      <c r="Q256" s="19"/>
      <c r="R256" s="19"/>
      <c r="S256" s="19"/>
      <c r="T256" s="19"/>
    </row>
    <row r="257" customFormat="false" ht="23.85" hidden="false" customHeight="false" outlineLevel="0" collapsed="false">
      <c r="A257" s="18" t="s">
        <v>1986</v>
      </c>
      <c r="B257" s="18" t="s">
        <v>80</v>
      </c>
      <c r="C257" s="18" t="s">
        <v>87</v>
      </c>
      <c r="D257" s="18" t="s">
        <v>33</v>
      </c>
      <c r="E257" s="18" t="s">
        <v>17</v>
      </c>
      <c r="F257" s="19" t="s">
        <v>1987</v>
      </c>
      <c r="G257" s="19"/>
      <c r="H257" s="19" t="s">
        <v>1988</v>
      </c>
      <c r="I257" s="19" t="s">
        <v>1989</v>
      </c>
      <c r="J257" s="19" t="s">
        <v>1990</v>
      </c>
      <c r="K257" s="19" t="s">
        <v>1991</v>
      </c>
      <c r="L257" s="19" t="s">
        <v>1992</v>
      </c>
      <c r="M257" s="19"/>
      <c r="N257" s="19"/>
      <c r="O257" s="19" t="s">
        <v>142</v>
      </c>
      <c r="P257" s="19" t="s">
        <v>143</v>
      </c>
      <c r="Q257" s="19"/>
      <c r="R257" s="19"/>
      <c r="S257" s="19"/>
      <c r="T257" s="19"/>
    </row>
    <row r="258" customFormat="false" ht="23.85" hidden="false" customHeight="false" outlineLevel="0" collapsed="false">
      <c r="A258" s="18" t="s">
        <v>1993</v>
      </c>
      <c r="B258" s="18" t="s">
        <v>80</v>
      </c>
      <c r="C258" s="18" t="s">
        <v>87</v>
      </c>
      <c r="D258" s="18" t="s">
        <v>33</v>
      </c>
      <c r="E258" s="18" t="s">
        <v>17</v>
      </c>
      <c r="F258" s="19" t="s">
        <v>1994</v>
      </c>
      <c r="G258" s="19"/>
      <c r="H258" s="19" t="s">
        <v>1995</v>
      </c>
      <c r="I258" s="19" t="s">
        <v>1996</v>
      </c>
      <c r="J258" s="19" t="s">
        <v>1997</v>
      </c>
      <c r="K258" s="19" t="s">
        <v>1998</v>
      </c>
      <c r="L258" s="19" t="s">
        <v>1999</v>
      </c>
      <c r="M258" s="19"/>
      <c r="N258" s="19"/>
      <c r="O258" s="19" t="s">
        <v>142</v>
      </c>
      <c r="P258" s="19" t="s">
        <v>143</v>
      </c>
      <c r="Q258" s="19"/>
      <c r="R258" s="19"/>
      <c r="S258" s="19"/>
      <c r="T258" s="19"/>
    </row>
    <row r="259" customFormat="false" ht="23.85" hidden="false" customHeight="false" outlineLevel="0" collapsed="false">
      <c r="A259" s="18" t="s">
        <v>2000</v>
      </c>
      <c r="B259" s="18" t="s">
        <v>80</v>
      </c>
      <c r="C259" s="18" t="s">
        <v>87</v>
      </c>
      <c r="D259" s="18" t="s">
        <v>33</v>
      </c>
      <c r="E259" s="18" t="s">
        <v>19</v>
      </c>
      <c r="F259" s="19" t="s">
        <v>2001</v>
      </c>
      <c r="G259" s="19"/>
      <c r="H259" s="19" t="s">
        <v>2002</v>
      </c>
      <c r="I259" s="19" t="s">
        <v>2003</v>
      </c>
      <c r="J259" s="19" t="s">
        <v>2004</v>
      </c>
      <c r="K259" s="19" t="s">
        <v>2005</v>
      </c>
      <c r="L259" s="19" t="s">
        <v>2006</v>
      </c>
      <c r="M259" s="19"/>
      <c r="N259" s="19"/>
      <c r="O259" s="19" t="s">
        <v>142</v>
      </c>
      <c r="P259" s="19" t="s">
        <v>143</v>
      </c>
      <c r="Q259" s="19"/>
      <c r="R259" s="19"/>
      <c r="S259" s="19"/>
      <c r="T259" s="19"/>
    </row>
    <row r="260" customFormat="false" ht="32.8" hidden="false" customHeight="false" outlineLevel="0" collapsed="false">
      <c r="A260" s="18" t="s">
        <v>2007</v>
      </c>
      <c r="B260" s="18" t="s">
        <v>80</v>
      </c>
      <c r="C260" s="18" t="s">
        <v>87</v>
      </c>
      <c r="D260" s="18" t="s">
        <v>33</v>
      </c>
      <c r="E260" s="18" t="s">
        <v>17</v>
      </c>
      <c r="F260" s="19" t="s">
        <v>2008</v>
      </c>
      <c r="G260" s="20" t="s">
        <v>2009</v>
      </c>
      <c r="H260" s="19" t="s">
        <v>2010</v>
      </c>
      <c r="I260" s="19" t="s">
        <v>2011</v>
      </c>
      <c r="J260" s="19" t="s">
        <v>2012</v>
      </c>
      <c r="K260" s="19" t="s">
        <v>2013</v>
      </c>
      <c r="L260" s="19" t="s">
        <v>2014</v>
      </c>
      <c r="M260" s="19"/>
      <c r="N260" s="19"/>
      <c r="O260" s="19" t="s">
        <v>142</v>
      </c>
      <c r="P260" s="19" t="s">
        <v>143</v>
      </c>
      <c r="Q260" s="19"/>
      <c r="R260" s="19"/>
      <c r="S260" s="19"/>
      <c r="T260" s="19"/>
    </row>
    <row r="261" customFormat="false" ht="23.85" hidden="false" customHeight="false" outlineLevel="0" collapsed="false">
      <c r="A261" s="18" t="s">
        <v>2015</v>
      </c>
      <c r="B261" s="18" t="s">
        <v>80</v>
      </c>
      <c r="C261" s="18" t="s">
        <v>87</v>
      </c>
      <c r="D261" s="18" t="s">
        <v>34</v>
      </c>
      <c r="E261" s="18" t="s">
        <v>17</v>
      </c>
      <c r="F261" s="19" t="s">
        <v>2016</v>
      </c>
      <c r="G261" s="19"/>
      <c r="H261" s="19" t="s">
        <v>2017</v>
      </c>
      <c r="I261" s="19" t="s">
        <v>2018</v>
      </c>
      <c r="J261" s="19" t="s">
        <v>2019</v>
      </c>
      <c r="K261" s="19" t="s">
        <v>2020</v>
      </c>
      <c r="L261" s="19" t="s">
        <v>2021</v>
      </c>
      <c r="M261" s="19"/>
      <c r="N261" s="19"/>
      <c r="O261" s="19" t="s">
        <v>142</v>
      </c>
      <c r="P261" s="19" t="s">
        <v>143</v>
      </c>
      <c r="Q261" s="19"/>
      <c r="R261" s="19"/>
      <c r="S261" s="19"/>
      <c r="T261" s="19"/>
    </row>
    <row r="262" customFormat="false" ht="23.85" hidden="false" customHeight="false" outlineLevel="0" collapsed="false">
      <c r="A262" s="18" t="s">
        <v>2022</v>
      </c>
      <c r="B262" s="18" t="s">
        <v>80</v>
      </c>
      <c r="C262" s="18" t="s">
        <v>87</v>
      </c>
      <c r="D262" s="18" t="s">
        <v>34</v>
      </c>
      <c r="E262" s="18" t="s">
        <v>17</v>
      </c>
      <c r="F262" s="19" t="s">
        <v>2023</v>
      </c>
      <c r="G262" s="19"/>
      <c r="H262" s="19" t="s">
        <v>2024</v>
      </c>
      <c r="I262" s="19" t="s">
        <v>2025</v>
      </c>
      <c r="J262" s="19" t="s">
        <v>2026</v>
      </c>
      <c r="K262" s="19" t="s">
        <v>2027</v>
      </c>
      <c r="L262" s="19" t="s">
        <v>2028</v>
      </c>
      <c r="M262" s="19"/>
      <c r="N262" s="19"/>
      <c r="O262" s="19" t="s">
        <v>142</v>
      </c>
      <c r="P262" s="19" t="s">
        <v>143</v>
      </c>
      <c r="Q262" s="19"/>
      <c r="R262" s="19"/>
      <c r="S262" s="19"/>
      <c r="T262" s="19"/>
    </row>
    <row r="263" customFormat="false" ht="23.85" hidden="false" customHeight="false" outlineLevel="0" collapsed="false">
      <c r="A263" s="18" t="s">
        <v>2029</v>
      </c>
      <c r="B263" s="18" t="s">
        <v>80</v>
      </c>
      <c r="C263" s="18" t="s">
        <v>87</v>
      </c>
      <c r="D263" s="18" t="s">
        <v>34</v>
      </c>
      <c r="E263" s="18" t="s">
        <v>17</v>
      </c>
      <c r="F263" s="19" t="s">
        <v>2030</v>
      </c>
      <c r="G263" s="19"/>
      <c r="H263" s="19" t="s">
        <v>2031</v>
      </c>
      <c r="I263" s="19" t="s">
        <v>2032</v>
      </c>
      <c r="J263" s="19" t="s">
        <v>2033</v>
      </c>
      <c r="K263" s="19" t="s">
        <v>2034</v>
      </c>
      <c r="L263" s="19" t="s">
        <v>2035</v>
      </c>
      <c r="M263" s="19"/>
      <c r="N263" s="19"/>
      <c r="O263" s="19" t="s">
        <v>142</v>
      </c>
      <c r="P263" s="19" t="s">
        <v>143</v>
      </c>
      <c r="Q263" s="19"/>
      <c r="R263" s="19"/>
      <c r="S263" s="19"/>
      <c r="T263" s="19"/>
    </row>
    <row r="264" customFormat="false" ht="32.8" hidden="false" customHeight="false" outlineLevel="0" collapsed="false">
      <c r="A264" s="18" t="s">
        <v>2036</v>
      </c>
      <c r="B264" s="18" t="s">
        <v>80</v>
      </c>
      <c r="C264" s="18" t="s">
        <v>87</v>
      </c>
      <c r="D264" s="18" t="s">
        <v>34</v>
      </c>
      <c r="E264" s="18" t="s">
        <v>17</v>
      </c>
      <c r="F264" s="19" t="s">
        <v>2037</v>
      </c>
      <c r="G264" s="20" t="s">
        <v>2038</v>
      </c>
      <c r="H264" s="19" t="s">
        <v>2039</v>
      </c>
      <c r="I264" s="19" t="s">
        <v>2040</v>
      </c>
      <c r="J264" s="19" t="s">
        <v>399</v>
      </c>
      <c r="K264" s="19" t="s">
        <v>2041</v>
      </c>
      <c r="L264" s="19" t="s">
        <v>2042</v>
      </c>
      <c r="M264" s="19"/>
      <c r="N264" s="19"/>
      <c r="O264" s="19" t="s">
        <v>142</v>
      </c>
      <c r="P264" s="19" t="s">
        <v>143</v>
      </c>
      <c r="Q264" s="19"/>
      <c r="R264" s="19"/>
      <c r="S264" s="19"/>
      <c r="T264" s="19"/>
    </row>
    <row r="265" customFormat="false" ht="35.05" hidden="false" customHeight="false" outlineLevel="0" collapsed="false">
      <c r="A265" s="18" t="s">
        <v>2043</v>
      </c>
      <c r="B265" s="18" t="s">
        <v>80</v>
      </c>
      <c r="C265" s="18" t="s">
        <v>87</v>
      </c>
      <c r="D265" s="18" t="s">
        <v>35</v>
      </c>
      <c r="E265" s="18" t="s">
        <v>17</v>
      </c>
      <c r="F265" s="19" t="s">
        <v>2044</v>
      </c>
      <c r="G265" s="19"/>
      <c r="H265" s="19" t="s">
        <v>2045</v>
      </c>
      <c r="I265" s="19" t="s">
        <v>2046</v>
      </c>
      <c r="J265" s="19" t="s">
        <v>2047</v>
      </c>
      <c r="K265" s="19" t="s">
        <v>2048</v>
      </c>
      <c r="L265" s="19" t="s">
        <v>2049</v>
      </c>
      <c r="M265" s="19"/>
      <c r="N265" s="19"/>
      <c r="O265" s="19" t="s">
        <v>142</v>
      </c>
      <c r="P265" s="19" t="s">
        <v>143</v>
      </c>
      <c r="Q265" s="19"/>
      <c r="R265" s="19"/>
      <c r="S265" s="19"/>
      <c r="T265" s="19"/>
    </row>
    <row r="266" customFormat="false" ht="35.05" hidden="false" customHeight="false" outlineLevel="0" collapsed="false">
      <c r="A266" s="18" t="s">
        <v>2050</v>
      </c>
      <c r="B266" s="18" t="s">
        <v>80</v>
      </c>
      <c r="C266" s="18" t="s">
        <v>87</v>
      </c>
      <c r="D266" s="18" t="s">
        <v>35</v>
      </c>
      <c r="E266" s="18" t="s">
        <v>17</v>
      </c>
      <c r="F266" s="19" t="s">
        <v>2051</v>
      </c>
      <c r="G266" s="19"/>
      <c r="H266" s="19" t="s">
        <v>2052</v>
      </c>
      <c r="I266" s="19" t="s">
        <v>1113</v>
      </c>
      <c r="J266" s="19" t="s">
        <v>2053</v>
      </c>
      <c r="K266" s="19" t="s">
        <v>2054</v>
      </c>
      <c r="L266" s="19" t="s">
        <v>2055</v>
      </c>
      <c r="M266" s="19"/>
      <c r="N266" s="19"/>
      <c r="O266" s="19" t="s">
        <v>142</v>
      </c>
      <c r="P266" s="19" t="s">
        <v>143</v>
      </c>
      <c r="Q266" s="19"/>
      <c r="R266" s="19"/>
      <c r="S266" s="19"/>
      <c r="T266" s="19"/>
    </row>
    <row r="267" customFormat="false" ht="35.05" hidden="false" customHeight="false" outlineLevel="0" collapsed="false">
      <c r="A267" s="18" t="s">
        <v>2056</v>
      </c>
      <c r="B267" s="18" t="s">
        <v>80</v>
      </c>
      <c r="C267" s="18" t="s">
        <v>87</v>
      </c>
      <c r="D267" s="18" t="s">
        <v>35</v>
      </c>
      <c r="E267" s="18" t="s">
        <v>17</v>
      </c>
      <c r="F267" s="19" t="s">
        <v>2057</v>
      </c>
      <c r="G267" s="19"/>
      <c r="H267" s="19" t="s">
        <v>2058</v>
      </c>
      <c r="I267" s="19" t="s">
        <v>2059</v>
      </c>
      <c r="J267" s="19" t="s">
        <v>2060</v>
      </c>
      <c r="K267" s="19" t="s">
        <v>2061</v>
      </c>
      <c r="L267" s="19" t="s">
        <v>2062</v>
      </c>
      <c r="M267" s="19"/>
      <c r="N267" s="19"/>
      <c r="O267" s="19" t="s">
        <v>142</v>
      </c>
      <c r="P267" s="19" t="s">
        <v>143</v>
      </c>
      <c r="Q267" s="19"/>
      <c r="R267" s="19"/>
      <c r="S267" s="19"/>
      <c r="T267" s="19"/>
    </row>
    <row r="268" customFormat="false" ht="85.05" hidden="false" customHeight="false" outlineLevel="0" collapsed="false">
      <c r="A268" s="18" t="s">
        <v>2063</v>
      </c>
      <c r="B268" s="18" t="s">
        <v>80</v>
      </c>
      <c r="C268" s="18" t="s">
        <v>87</v>
      </c>
      <c r="D268" s="18" t="s">
        <v>35</v>
      </c>
      <c r="E268" s="18" t="s">
        <v>17</v>
      </c>
      <c r="F268" s="19" t="s">
        <v>2064</v>
      </c>
      <c r="G268" s="20" t="s">
        <v>2065</v>
      </c>
      <c r="H268" s="19" t="s">
        <v>2066</v>
      </c>
      <c r="I268" s="19" t="s">
        <v>2067</v>
      </c>
      <c r="J268" s="19" t="s">
        <v>2068</v>
      </c>
      <c r="K268" s="19" t="s">
        <v>2069</v>
      </c>
      <c r="L268" s="19" t="s">
        <v>2070</v>
      </c>
      <c r="M268" s="19"/>
      <c r="N268" s="19"/>
      <c r="O268" s="19" t="s">
        <v>142</v>
      </c>
      <c r="P268" s="19" t="s">
        <v>143</v>
      </c>
      <c r="Q268" s="19"/>
      <c r="R268" s="19"/>
      <c r="S268" s="19"/>
      <c r="T268" s="19"/>
    </row>
    <row r="269" customFormat="false" ht="15" hidden="false" customHeight="false" outlineLevel="0" collapsed="false">
      <c r="A269" s="18" t="s">
        <v>2071</v>
      </c>
      <c r="B269" s="18" t="s">
        <v>80</v>
      </c>
      <c r="C269" s="18" t="s">
        <v>89</v>
      </c>
      <c r="D269" s="18" t="s">
        <v>33</v>
      </c>
      <c r="E269" s="18" t="s">
        <v>17</v>
      </c>
      <c r="F269" s="19" t="s">
        <v>2072</v>
      </c>
      <c r="G269" s="19"/>
      <c r="H269" s="19" t="s">
        <v>2073</v>
      </c>
      <c r="I269" s="19" t="s">
        <v>2074</v>
      </c>
      <c r="J269" s="19" t="s">
        <v>2075</v>
      </c>
      <c r="K269" s="19" t="s">
        <v>2076</v>
      </c>
      <c r="L269" s="19" t="s">
        <v>2077</v>
      </c>
      <c r="M269" s="19"/>
      <c r="N269" s="19"/>
      <c r="O269" s="19" t="s">
        <v>142</v>
      </c>
      <c r="P269" s="19" t="s">
        <v>143</v>
      </c>
      <c r="Q269" s="19"/>
      <c r="R269" s="19"/>
      <c r="S269" s="19"/>
      <c r="T269" s="19"/>
    </row>
    <row r="270" customFormat="false" ht="23.85" hidden="false" customHeight="false" outlineLevel="0" collapsed="false">
      <c r="A270" s="18" t="s">
        <v>2078</v>
      </c>
      <c r="B270" s="18" t="s">
        <v>80</v>
      </c>
      <c r="C270" s="18" t="s">
        <v>89</v>
      </c>
      <c r="D270" s="18" t="s">
        <v>33</v>
      </c>
      <c r="E270" s="18" t="s">
        <v>19</v>
      </c>
      <c r="F270" s="19" t="s">
        <v>2079</v>
      </c>
      <c r="G270" s="19"/>
      <c r="H270" s="19" t="s">
        <v>2076</v>
      </c>
      <c r="I270" s="19" t="s">
        <v>2080</v>
      </c>
      <c r="J270" s="19" t="s">
        <v>2081</v>
      </c>
      <c r="K270" s="19" t="s">
        <v>2082</v>
      </c>
      <c r="L270" s="19" t="s">
        <v>2083</v>
      </c>
      <c r="M270" s="19"/>
      <c r="N270" s="19"/>
      <c r="O270" s="19" t="s">
        <v>142</v>
      </c>
      <c r="P270" s="19" t="s">
        <v>143</v>
      </c>
      <c r="Q270" s="19"/>
      <c r="R270" s="19"/>
      <c r="S270" s="19"/>
      <c r="T270" s="19"/>
    </row>
    <row r="271" customFormat="false" ht="23.85" hidden="false" customHeight="false" outlineLevel="0" collapsed="false">
      <c r="A271" s="18" t="s">
        <v>2084</v>
      </c>
      <c r="B271" s="18" t="s">
        <v>80</v>
      </c>
      <c r="C271" s="18" t="s">
        <v>89</v>
      </c>
      <c r="D271" s="18" t="s">
        <v>33</v>
      </c>
      <c r="E271" s="18" t="s">
        <v>17</v>
      </c>
      <c r="F271" s="19" t="s">
        <v>2085</v>
      </c>
      <c r="G271" s="19"/>
      <c r="H271" s="19" t="s">
        <v>2086</v>
      </c>
      <c r="I271" s="19" t="s">
        <v>2087</v>
      </c>
      <c r="J271" s="19" t="s">
        <v>2088</v>
      </c>
      <c r="K271" s="19" t="s">
        <v>2089</v>
      </c>
      <c r="L271" s="19" t="s">
        <v>2090</v>
      </c>
      <c r="M271" s="19"/>
      <c r="N271" s="19"/>
      <c r="O271" s="19" t="s">
        <v>142</v>
      </c>
      <c r="P271" s="19" t="s">
        <v>143</v>
      </c>
      <c r="Q271" s="19"/>
      <c r="R271" s="19"/>
      <c r="S271" s="19"/>
      <c r="T271" s="19"/>
    </row>
    <row r="272" customFormat="false" ht="23.85" hidden="false" customHeight="false" outlineLevel="0" collapsed="false">
      <c r="A272" s="18" t="s">
        <v>2091</v>
      </c>
      <c r="B272" s="18" t="s">
        <v>80</v>
      </c>
      <c r="C272" s="18" t="s">
        <v>89</v>
      </c>
      <c r="D272" s="18" t="s">
        <v>33</v>
      </c>
      <c r="E272" s="18" t="s">
        <v>17</v>
      </c>
      <c r="F272" s="19" t="s">
        <v>2092</v>
      </c>
      <c r="G272" s="20" t="s">
        <v>2093</v>
      </c>
      <c r="H272" s="19" t="s">
        <v>2094</v>
      </c>
      <c r="I272" s="19" t="s">
        <v>2095</v>
      </c>
      <c r="J272" s="19" t="s">
        <v>2096</v>
      </c>
      <c r="K272" s="19" t="s">
        <v>2097</v>
      </c>
      <c r="L272" s="19" t="s">
        <v>2098</v>
      </c>
      <c r="M272" s="19"/>
      <c r="N272" s="19"/>
      <c r="O272" s="19" t="s">
        <v>142</v>
      </c>
      <c r="P272" s="19" t="s">
        <v>143</v>
      </c>
      <c r="Q272" s="19"/>
      <c r="R272" s="19"/>
      <c r="S272" s="19"/>
      <c r="T272" s="19"/>
    </row>
    <row r="273" customFormat="false" ht="23.85" hidden="false" customHeight="false" outlineLevel="0" collapsed="false">
      <c r="A273" s="18" t="s">
        <v>2099</v>
      </c>
      <c r="B273" s="18" t="s">
        <v>80</v>
      </c>
      <c r="C273" s="18" t="s">
        <v>89</v>
      </c>
      <c r="D273" s="18" t="s">
        <v>34</v>
      </c>
      <c r="E273" s="18" t="s">
        <v>17</v>
      </c>
      <c r="F273" s="19" t="s">
        <v>2100</v>
      </c>
      <c r="G273" s="19"/>
      <c r="H273" s="19" t="s">
        <v>2101</v>
      </c>
      <c r="I273" s="19" t="s">
        <v>2102</v>
      </c>
      <c r="J273" s="19" t="s">
        <v>2103</v>
      </c>
      <c r="K273" s="19" t="s">
        <v>2104</v>
      </c>
      <c r="L273" s="19" t="s">
        <v>2105</v>
      </c>
      <c r="M273" s="19"/>
      <c r="N273" s="19"/>
      <c r="O273" s="19" t="s">
        <v>142</v>
      </c>
      <c r="P273" s="19" t="s">
        <v>143</v>
      </c>
      <c r="Q273" s="19"/>
      <c r="R273" s="19"/>
      <c r="S273" s="19"/>
      <c r="T273" s="19"/>
    </row>
    <row r="274" customFormat="false" ht="23.85" hidden="false" customHeight="false" outlineLevel="0" collapsed="false">
      <c r="A274" s="18" t="s">
        <v>2106</v>
      </c>
      <c r="B274" s="18" t="s">
        <v>80</v>
      </c>
      <c r="C274" s="18" t="s">
        <v>89</v>
      </c>
      <c r="D274" s="18" t="s">
        <v>34</v>
      </c>
      <c r="E274" s="18" t="s">
        <v>17</v>
      </c>
      <c r="F274" s="19" t="s">
        <v>2107</v>
      </c>
      <c r="G274" s="19"/>
      <c r="H274" s="19" t="s">
        <v>2108</v>
      </c>
      <c r="I274" s="19" t="s">
        <v>2109</v>
      </c>
      <c r="J274" s="19" t="s">
        <v>2110</v>
      </c>
      <c r="K274" s="19" t="s">
        <v>2111</v>
      </c>
      <c r="L274" s="19" t="s">
        <v>2112</v>
      </c>
      <c r="M274" s="19"/>
      <c r="N274" s="19"/>
      <c r="O274" s="19" t="s">
        <v>142</v>
      </c>
      <c r="P274" s="19" t="s">
        <v>143</v>
      </c>
      <c r="Q274" s="19"/>
      <c r="R274" s="19"/>
      <c r="S274" s="19"/>
      <c r="T274" s="19"/>
    </row>
    <row r="275" customFormat="false" ht="23.85" hidden="false" customHeight="false" outlineLevel="0" collapsed="false">
      <c r="A275" s="18" t="s">
        <v>2113</v>
      </c>
      <c r="B275" s="18" t="s">
        <v>80</v>
      </c>
      <c r="C275" s="18" t="s">
        <v>89</v>
      </c>
      <c r="D275" s="18" t="s">
        <v>34</v>
      </c>
      <c r="E275" s="18" t="s">
        <v>17</v>
      </c>
      <c r="F275" s="19" t="s">
        <v>2114</v>
      </c>
      <c r="G275" s="19"/>
      <c r="H275" s="19" t="s">
        <v>2115</v>
      </c>
      <c r="I275" s="19" t="s">
        <v>2116</v>
      </c>
      <c r="J275" s="19" t="s">
        <v>2117</v>
      </c>
      <c r="K275" s="19" t="s">
        <v>2118</v>
      </c>
      <c r="L275" s="19" t="s">
        <v>2119</v>
      </c>
      <c r="M275" s="19"/>
      <c r="N275" s="19"/>
      <c r="O275" s="19" t="s">
        <v>142</v>
      </c>
      <c r="P275" s="19" t="s">
        <v>143</v>
      </c>
      <c r="Q275" s="19"/>
      <c r="R275" s="19"/>
      <c r="S275" s="19"/>
      <c r="T275" s="19"/>
    </row>
    <row r="276" customFormat="false" ht="23.85" hidden="false" customHeight="false" outlineLevel="0" collapsed="false">
      <c r="A276" s="18" t="s">
        <v>2120</v>
      </c>
      <c r="B276" s="18" t="s">
        <v>80</v>
      </c>
      <c r="C276" s="18" t="s">
        <v>89</v>
      </c>
      <c r="D276" s="18" t="s">
        <v>34</v>
      </c>
      <c r="E276" s="18" t="s">
        <v>17</v>
      </c>
      <c r="F276" s="19" t="s">
        <v>2121</v>
      </c>
      <c r="G276" s="20" t="s">
        <v>2122</v>
      </c>
      <c r="H276" s="19" t="s">
        <v>2123</v>
      </c>
      <c r="I276" s="19" t="s">
        <v>2124</v>
      </c>
      <c r="J276" s="19" t="s">
        <v>2125</v>
      </c>
      <c r="K276" s="19" t="s">
        <v>2126</v>
      </c>
      <c r="L276" s="19" t="s">
        <v>2127</v>
      </c>
      <c r="M276" s="19"/>
      <c r="N276" s="19"/>
      <c r="O276" s="19" t="s">
        <v>142</v>
      </c>
      <c r="P276" s="19" t="s">
        <v>143</v>
      </c>
      <c r="Q276" s="19"/>
      <c r="R276" s="19"/>
      <c r="S276" s="19"/>
      <c r="T276" s="19"/>
    </row>
    <row r="277" customFormat="false" ht="23.85" hidden="false" customHeight="false" outlineLevel="0" collapsed="false">
      <c r="A277" s="18" t="s">
        <v>2128</v>
      </c>
      <c r="B277" s="18" t="s">
        <v>80</v>
      </c>
      <c r="C277" s="18" t="s">
        <v>89</v>
      </c>
      <c r="D277" s="18" t="s">
        <v>35</v>
      </c>
      <c r="E277" s="18" t="s">
        <v>17</v>
      </c>
      <c r="F277" s="19" t="s">
        <v>2129</v>
      </c>
      <c r="G277" s="19"/>
      <c r="H277" s="19" t="s">
        <v>2130</v>
      </c>
      <c r="I277" s="19" t="s">
        <v>2131</v>
      </c>
      <c r="J277" s="19" t="s">
        <v>2132</v>
      </c>
      <c r="K277" s="19" t="s">
        <v>2133</v>
      </c>
      <c r="L277" s="19" t="s">
        <v>2134</v>
      </c>
      <c r="M277" s="19"/>
      <c r="N277" s="19"/>
      <c r="O277" s="19" t="s">
        <v>142</v>
      </c>
      <c r="P277" s="19" t="s">
        <v>143</v>
      </c>
      <c r="Q277" s="19"/>
      <c r="R277" s="19"/>
      <c r="S277" s="19"/>
      <c r="T277" s="19"/>
    </row>
    <row r="278" customFormat="false" ht="23.85" hidden="false" customHeight="false" outlineLevel="0" collapsed="false">
      <c r="A278" s="18" t="s">
        <v>2135</v>
      </c>
      <c r="B278" s="18" t="s">
        <v>80</v>
      </c>
      <c r="C278" s="18" t="s">
        <v>89</v>
      </c>
      <c r="D278" s="18" t="s">
        <v>35</v>
      </c>
      <c r="E278" s="18" t="s">
        <v>17</v>
      </c>
      <c r="F278" s="19" t="s">
        <v>2136</v>
      </c>
      <c r="G278" s="19"/>
      <c r="H278" s="19" t="s">
        <v>2137</v>
      </c>
      <c r="I278" s="19" t="s">
        <v>2074</v>
      </c>
      <c r="J278" s="19" t="s">
        <v>2138</v>
      </c>
      <c r="K278" s="19" t="s">
        <v>2139</v>
      </c>
      <c r="L278" s="19" t="s">
        <v>2140</v>
      </c>
      <c r="M278" s="19"/>
      <c r="N278" s="19"/>
      <c r="O278" s="19" t="s">
        <v>142</v>
      </c>
      <c r="P278" s="19" t="s">
        <v>143</v>
      </c>
      <c r="Q278" s="19"/>
      <c r="R278" s="19"/>
      <c r="S278" s="19"/>
      <c r="T278" s="19"/>
    </row>
    <row r="279" customFormat="false" ht="35.05" hidden="false" customHeight="false" outlineLevel="0" collapsed="false">
      <c r="A279" s="18" t="s">
        <v>2141</v>
      </c>
      <c r="B279" s="18" t="s">
        <v>80</v>
      </c>
      <c r="C279" s="18" t="s">
        <v>89</v>
      </c>
      <c r="D279" s="18" t="s">
        <v>35</v>
      </c>
      <c r="E279" s="18" t="s">
        <v>17</v>
      </c>
      <c r="F279" s="19" t="s">
        <v>2142</v>
      </c>
      <c r="G279" s="19"/>
      <c r="H279" s="19" t="s">
        <v>2143</v>
      </c>
      <c r="I279" s="19" t="s">
        <v>2144</v>
      </c>
      <c r="J279" s="19" t="s">
        <v>2145</v>
      </c>
      <c r="K279" s="19" t="s">
        <v>454</v>
      </c>
      <c r="L279" s="19" t="s">
        <v>2146</v>
      </c>
      <c r="M279" s="19"/>
      <c r="N279" s="19"/>
      <c r="O279" s="19" t="s">
        <v>142</v>
      </c>
      <c r="P279" s="19" t="s">
        <v>143</v>
      </c>
      <c r="Q279" s="19"/>
      <c r="R279" s="19"/>
      <c r="S279" s="19"/>
      <c r="T279" s="19"/>
    </row>
    <row r="280" customFormat="false" ht="23.85" hidden="false" customHeight="false" outlineLevel="0" collapsed="false">
      <c r="A280" s="18" t="s">
        <v>2147</v>
      </c>
      <c r="B280" s="18" t="s">
        <v>80</v>
      </c>
      <c r="C280" s="18" t="s">
        <v>89</v>
      </c>
      <c r="D280" s="18" t="s">
        <v>35</v>
      </c>
      <c r="E280" s="18" t="s">
        <v>17</v>
      </c>
      <c r="F280" s="19" t="s">
        <v>2148</v>
      </c>
      <c r="G280" s="20" t="s">
        <v>2149</v>
      </c>
      <c r="H280" s="19" t="s">
        <v>2150</v>
      </c>
      <c r="I280" s="19" t="s">
        <v>2151</v>
      </c>
      <c r="J280" s="19" t="s">
        <v>2152</v>
      </c>
      <c r="K280" s="19" t="s">
        <v>2153</v>
      </c>
      <c r="L280" s="19" t="s">
        <v>2154</v>
      </c>
      <c r="M280" s="19"/>
      <c r="N280" s="19"/>
      <c r="O280" s="19" t="s">
        <v>142</v>
      </c>
      <c r="P280" s="19" t="s">
        <v>143</v>
      </c>
      <c r="Q280" s="19"/>
      <c r="R280" s="19"/>
      <c r="S280" s="19"/>
      <c r="T280" s="19"/>
    </row>
    <row r="281" customFormat="false" ht="23.85" hidden="false" customHeight="false" outlineLevel="0" collapsed="false">
      <c r="A281" s="18" t="s">
        <v>2155</v>
      </c>
      <c r="B281" s="18" t="s">
        <v>80</v>
      </c>
      <c r="C281" s="18" t="s">
        <v>91</v>
      </c>
      <c r="D281" s="18" t="s">
        <v>33</v>
      </c>
      <c r="E281" s="18" t="s">
        <v>17</v>
      </c>
      <c r="F281" s="19" t="s">
        <v>2156</v>
      </c>
      <c r="G281" s="19"/>
      <c r="H281" s="19" t="s">
        <v>2157</v>
      </c>
      <c r="I281" s="19" t="s">
        <v>1744</v>
      </c>
      <c r="J281" s="19" t="s">
        <v>2158</v>
      </c>
      <c r="K281" s="19" t="s">
        <v>2159</v>
      </c>
      <c r="L281" s="19" t="s">
        <v>2160</v>
      </c>
      <c r="M281" s="19"/>
      <c r="N281" s="19"/>
      <c r="O281" s="19" t="s">
        <v>142</v>
      </c>
      <c r="P281" s="19" t="s">
        <v>143</v>
      </c>
      <c r="Q281" s="19"/>
      <c r="R281" s="19"/>
      <c r="S281" s="19"/>
      <c r="T281" s="19"/>
    </row>
    <row r="282" customFormat="false" ht="23.85" hidden="false" customHeight="false" outlineLevel="0" collapsed="false">
      <c r="A282" s="18" t="s">
        <v>2161</v>
      </c>
      <c r="B282" s="18" t="s">
        <v>80</v>
      </c>
      <c r="C282" s="18" t="s">
        <v>91</v>
      </c>
      <c r="D282" s="18" t="s">
        <v>33</v>
      </c>
      <c r="E282" s="18" t="s">
        <v>17</v>
      </c>
      <c r="F282" s="19" t="s">
        <v>2162</v>
      </c>
      <c r="G282" s="19"/>
      <c r="H282" s="19" t="s">
        <v>2163</v>
      </c>
      <c r="I282" s="19" t="s">
        <v>2164</v>
      </c>
      <c r="J282" s="19" t="s">
        <v>2165</v>
      </c>
      <c r="K282" s="19" t="s">
        <v>2166</v>
      </c>
      <c r="L282" s="19" t="s">
        <v>2167</v>
      </c>
      <c r="M282" s="19"/>
      <c r="N282" s="19"/>
      <c r="O282" s="19" t="s">
        <v>142</v>
      </c>
      <c r="P282" s="19" t="s">
        <v>143</v>
      </c>
      <c r="Q282" s="19"/>
      <c r="R282" s="19"/>
      <c r="S282" s="19"/>
      <c r="T282" s="19"/>
    </row>
    <row r="283" customFormat="false" ht="23.85" hidden="false" customHeight="false" outlineLevel="0" collapsed="false">
      <c r="A283" s="18" t="s">
        <v>2168</v>
      </c>
      <c r="B283" s="18" t="s">
        <v>80</v>
      </c>
      <c r="C283" s="18" t="s">
        <v>91</v>
      </c>
      <c r="D283" s="18" t="s">
        <v>33</v>
      </c>
      <c r="E283" s="18" t="s">
        <v>19</v>
      </c>
      <c r="F283" s="19" t="s">
        <v>2169</v>
      </c>
      <c r="G283" s="19"/>
      <c r="H283" s="19" t="s">
        <v>2170</v>
      </c>
      <c r="I283" s="19" t="s">
        <v>2171</v>
      </c>
      <c r="J283" s="19" t="s">
        <v>1775</v>
      </c>
      <c r="K283" s="19" t="s">
        <v>2172</v>
      </c>
      <c r="L283" s="19" t="s">
        <v>2173</v>
      </c>
      <c r="M283" s="19"/>
      <c r="N283" s="19"/>
      <c r="O283" s="19" t="s">
        <v>142</v>
      </c>
      <c r="P283" s="19" t="s">
        <v>143</v>
      </c>
      <c r="Q283" s="19"/>
      <c r="R283" s="19"/>
      <c r="S283" s="19"/>
      <c r="T283" s="19"/>
    </row>
    <row r="284" customFormat="false" ht="43.25" hidden="false" customHeight="false" outlineLevel="0" collapsed="false">
      <c r="A284" s="18" t="s">
        <v>2174</v>
      </c>
      <c r="B284" s="18" t="s">
        <v>80</v>
      </c>
      <c r="C284" s="18" t="s">
        <v>91</v>
      </c>
      <c r="D284" s="18" t="s">
        <v>33</v>
      </c>
      <c r="E284" s="18" t="s">
        <v>17</v>
      </c>
      <c r="F284" s="19" t="s">
        <v>2175</v>
      </c>
      <c r="G284" s="20" t="s">
        <v>2176</v>
      </c>
      <c r="H284" s="19" t="s">
        <v>2177</v>
      </c>
      <c r="I284" s="19" t="s">
        <v>2178</v>
      </c>
      <c r="J284" s="19" t="s">
        <v>2179</v>
      </c>
      <c r="K284" s="19" t="s">
        <v>2180</v>
      </c>
      <c r="L284" s="19" t="s">
        <v>2181</v>
      </c>
      <c r="M284" s="19"/>
      <c r="N284" s="19"/>
      <c r="O284" s="19" t="s">
        <v>142</v>
      </c>
      <c r="P284" s="19" t="s">
        <v>143</v>
      </c>
      <c r="Q284" s="19"/>
      <c r="R284" s="19"/>
      <c r="S284" s="19"/>
      <c r="T284" s="19"/>
    </row>
    <row r="285" customFormat="false" ht="35.05" hidden="false" customHeight="false" outlineLevel="0" collapsed="false">
      <c r="A285" s="18" t="s">
        <v>2182</v>
      </c>
      <c r="B285" s="18" t="s">
        <v>80</v>
      </c>
      <c r="C285" s="18" t="s">
        <v>91</v>
      </c>
      <c r="D285" s="18" t="s">
        <v>34</v>
      </c>
      <c r="E285" s="18" t="s">
        <v>17</v>
      </c>
      <c r="F285" s="19" t="s">
        <v>2183</v>
      </c>
      <c r="G285" s="19"/>
      <c r="H285" s="19" t="s">
        <v>2184</v>
      </c>
      <c r="I285" s="19" t="s">
        <v>1113</v>
      </c>
      <c r="J285" s="19" t="s">
        <v>2185</v>
      </c>
      <c r="K285" s="19" t="s">
        <v>2186</v>
      </c>
      <c r="L285" s="19" t="s">
        <v>2187</v>
      </c>
      <c r="M285" s="19"/>
      <c r="N285" s="19"/>
      <c r="O285" s="19" t="s">
        <v>142</v>
      </c>
      <c r="P285" s="19" t="s">
        <v>143</v>
      </c>
      <c r="Q285" s="19"/>
      <c r="R285" s="19"/>
      <c r="S285" s="19"/>
      <c r="T285" s="19"/>
    </row>
    <row r="286" customFormat="false" ht="23.85" hidden="false" customHeight="false" outlineLevel="0" collapsed="false">
      <c r="A286" s="18" t="s">
        <v>2188</v>
      </c>
      <c r="B286" s="18" t="s">
        <v>80</v>
      </c>
      <c r="C286" s="18" t="s">
        <v>91</v>
      </c>
      <c r="D286" s="18" t="s">
        <v>34</v>
      </c>
      <c r="E286" s="18" t="s">
        <v>17</v>
      </c>
      <c r="F286" s="19" t="s">
        <v>2189</v>
      </c>
      <c r="G286" s="19"/>
      <c r="H286" s="19" t="s">
        <v>2190</v>
      </c>
      <c r="I286" s="19" t="s">
        <v>2191</v>
      </c>
      <c r="J286" s="19" t="s">
        <v>2192</v>
      </c>
      <c r="K286" s="19" t="s">
        <v>2193</v>
      </c>
      <c r="L286" s="19" t="s">
        <v>2194</v>
      </c>
      <c r="M286" s="19"/>
      <c r="N286" s="19"/>
      <c r="O286" s="19" t="s">
        <v>142</v>
      </c>
      <c r="P286" s="19" t="s">
        <v>143</v>
      </c>
      <c r="Q286" s="19"/>
      <c r="R286" s="19"/>
      <c r="S286" s="19"/>
      <c r="T286" s="19"/>
    </row>
    <row r="287" customFormat="false" ht="23.85" hidden="false" customHeight="false" outlineLevel="0" collapsed="false">
      <c r="A287" s="18" t="s">
        <v>2195</v>
      </c>
      <c r="B287" s="18" t="s">
        <v>80</v>
      </c>
      <c r="C287" s="18" t="s">
        <v>91</v>
      </c>
      <c r="D287" s="18" t="s">
        <v>34</v>
      </c>
      <c r="E287" s="18" t="s">
        <v>17</v>
      </c>
      <c r="F287" s="19" t="s">
        <v>2196</v>
      </c>
      <c r="G287" s="19"/>
      <c r="H287" s="19" t="s">
        <v>2197</v>
      </c>
      <c r="I287" s="19" t="s">
        <v>2198</v>
      </c>
      <c r="J287" s="19" t="s">
        <v>2199</v>
      </c>
      <c r="K287" s="19" t="s">
        <v>2200</v>
      </c>
      <c r="L287" s="19" t="s">
        <v>2201</v>
      </c>
      <c r="M287" s="19"/>
      <c r="N287" s="19"/>
      <c r="O287" s="19" t="s">
        <v>142</v>
      </c>
      <c r="P287" s="19" t="s">
        <v>143</v>
      </c>
      <c r="Q287" s="19"/>
      <c r="R287" s="19"/>
      <c r="S287" s="19"/>
      <c r="T287" s="19"/>
    </row>
    <row r="288" customFormat="false" ht="23.85" hidden="false" customHeight="false" outlineLevel="0" collapsed="false">
      <c r="A288" s="18" t="s">
        <v>2202</v>
      </c>
      <c r="B288" s="18" t="s">
        <v>80</v>
      </c>
      <c r="C288" s="18" t="s">
        <v>91</v>
      </c>
      <c r="D288" s="18" t="s">
        <v>34</v>
      </c>
      <c r="E288" s="18" t="s">
        <v>17</v>
      </c>
      <c r="F288" s="19" t="s">
        <v>2203</v>
      </c>
      <c r="G288" s="19"/>
      <c r="H288" s="19" t="s">
        <v>2204</v>
      </c>
      <c r="I288" s="19" t="s">
        <v>2205</v>
      </c>
      <c r="J288" s="19" t="s">
        <v>2206</v>
      </c>
      <c r="K288" s="19" t="s">
        <v>2207</v>
      </c>
      <c r="L288" s="19" t="s">
        <v>2208</v>
      </c>
      <c r="M288" s="19"/>
      <c r="N288" s="19"/>
      <c r="O288" s="19" t="s">
        <v>142</v>
      </c>
      <c r="P288" s="19" t="s">
        <v>143</v>
      </c>
      <c r="Q288" s="19"/>
      <c r="R288" s="19"/>
      <c r="S288" s="19"/>
      <c r="T288" s="19"/>
    </row>
    <row r="289" customFormat="false" ht="35.05" hidden="false" customHeight="false" outlineLevel="0" collapsed="false">
      <c r="A289" s="18" t="s">
        <v>2209</v>
      </c>
      <c r="B289" s="18" t="s">
        <v>80</v>
      </c>
      <c r="C289" s="18" t="s">
        <v>91</v>
      </c>
      <c r="D289" s="18" t="s">
        <v>35</v>
      </c>
      <c r="E289" s="18" t="s">
        <v>17</v>
      </c>
      <c r="F289" s="19" t="s">
        <v>2210</v>
      </c>
      <c r="G289" s="19"/>
      <c r="H289" s="19" t="s">
        <v>2211</v>
      </c>
      <c r="I289" s="19" t="s">
        <v>2212</v>
      </c>
      <c r="J289" s="19" t="s">
        <v>2213</v>
      </c>
      <c r="K289" s="19" t="s">
        <v>2214</v>
      </c>
      <c r="L289" s="19" t="s">
        <v>2215</v>
      </c>
      <c r="M289" s="19"/>
      <c r="N289" s="19"/>
      <c r="O289" s="19" t="s">
        <v>142</v>
      </c>
      <c r="P289" s="19" t="s">
        <v>143</v>
      </c>
      <c r="Q289" s="19"/>
      <c r="R289" s="19"/>
      <c r="S289" s="19"/>
      <c r="T289" s="19"/>
    </row>
    <row r="290" customFormat="false" ht="23.85" hidden="false" customHeight="false" outlineLevel="0" collapsed="false">
      <c r="A290" s="18" t="s">
        <v>2216</v>
      </c>
      <c r="B290" s="18" t="s">
        <v>80</v>
      </c>
      <c r="C290" s="18" t="s">
        <v>91</v>
      </c>
      <c r="D290" s="18" t="s">
        <v>35</v>
      </c>
      <c r="E290" s="18" t="s">
        <v>17</v>
      </c>
      <c r="F290" s="19" t="s">
        <v>2217</v>
      </c>
      <c r="G290" s="19"/>
      <c r="H290" s="19" t="s">
        <v>2218</v>
      </c>
      <c r="I290" s="19" t="s">
        <v>2219</v>
      </c>
      <c r="J290" s="19" t="s">
        <v>2220</v>
      </c>
      <c r="K290" s="19" t="s">
        <v>2221</v>
      </c>
      <c r="L290" s="19" t="s">
        <v>2222</v>
      </c>
      <c r="M290" s="19"/>
      <c r="N290" s="19"/>
      <c r="O290" s="19" t="s">
        <v>142</v>
      </c>
      <c r="P290" s="19" t="s">
        <v>143</v>
      </c>
      <c r="Q290" s="19"/>
      <c r="R290" s="19"/>
      <c r="S290" s="19"/>
      <c r="T290" s="19"/>
    </row>
    <row r="291" customFormat="false" ht="23.85" hidden="false" customHeight="false" outlineLevel="0" collapsed="false">
      <c r="A291" s="18" t="s">
        <v>2223</v>
      </c>
      <c r="B291" s="18" t="s">
        <v>80</v>
      </c>
      <c r="C291" s="18" t="s">
        <v>91</v>
      </c>
      <c r="D291" s="18" t="s">
        <v>35</v>
      </c>
      <c r="E291" s="18" t="s">
        <v>17</v>
      </c>
      <c r="F291" s="19" t="s">
        <v>2224</v>
      </c>
      <c r="G291" s="19"/>
      <c r="H291" s="19" t="s">
        <v>2225</v>
      </c>
      <c r="I291" s="19" t="s">
        <v>2226</v>
      </c>
      <c r="J291" s="19" t="s">
        <v>2227</v>
      </c>
      <c r="K291" s="19" t="s">
        <v>2228</v>
      </c>
      <c r="L291" s="19" t="s">
        <v>2229</v>
      </c>
      <c r="M291" s="19"/>
      <c r="N291" s="19"/>
      <c r="O291" s="19" t="s">
        <v>142</v>
      </c>
      <c r="P291" s="19" t="s">
        <v>143</v>
      </c>
      <c r="Q291" s="19"/>
      <c r="R291" s="19"/>
      <c r="S291" s="19"/>
      <c r="T291" s="19"/>
    </row>
    <row r="292" customFormat="false" ht="32.8" hidden="false" customHeight="false" outlineLevel="0" collapsed="false">
      <c r="A292" s="18" t="s">
        <v>2230</v>
      </c>
      <c r="B292" s="18" t="s">
        <v>80</v>
      </c>
      <c r="C292" s="18" t="s">
        <v>91</v>
      </c>
      <c r="D292" s="18" t="s">
        <v>35</v>
      </c>
      <c r="E292" s="18" t="s">
        <v>17</v>
      </c>
      <c r="F292" s="19" t="s">
        <v>2231</v>
      </c>
      <c r="G292" s="20" t="s">
        <v>2232</v>
      </c>
      <c r="H292" s="19" t="s">
        <v>2233</v>
      </c>
      <c r="I292" s="19" t="s">
        <v>2116</v>
      </c>
      <c r="J292" s="19" t="s">
        <v>2234</v>
      </c>
      <c r="K292" s="19" t="s">
        <v>2235</v>
      </c>
      <c r="L292" s="19" t="s">
        <v>2236</v>
      </c>
      <c r="M292" s="19"/>
      <c r="N292" s="19"/>
      <c r="O292" s="19" t="s">
        <v>142</v>
      </c>
      <c r="P292" s="19" t="s">
        <v>143</v>
      </c>
      <c r="Q292" s="19"/>
      <c r="R292" s="19"/>
      <c r="S292" s="19"/>
      <c r="T292" s="19"/>
    </row>
    <row r="293" customFormat="false" ht="23.85" hidden="false" customHeight="false" outlineLevel="0" collapsed="false">
      <c r="A293" s="18" t="s">
        <v>2237</v>
      </c>
      <c r="B293" s="18" t="s">
        <v>93</v>
      </c>
      <c r="C293" s="18" t="s">
        <v>94</v>
      </c>
      <c r="D293" s="18" t="s">
        <v>33</v>
      </c>
      <c r="E293" s="18" t="s">
        <v>17</v>
      </c>
      <c r="F293" s="19" t="s">
        <v>2238</v>
      </c>
      <c r="G293" s="19"/>
      <c r="H293" s="19" t="s">
        <v>2239</v>
      </c>
      <c r="I293" s="19" t="s">
        <v>1684</v>
      </c>
      <c r="J293" s="19" t="s">
        <v>2240</v>
      </c>
      <c r="K293" s="19" t="s">
        <v>2241</v>
      </c>
      <c r="L293" s="19" t="s">
        <v>2242</v>
      </c>
      <c r="M293" s="19"/>
      <c r="N293" s="19"/>
      <c r="O293" s="19" t="s">
        <v>142</v>
      </c>
      <c r="P293" s="19" t="s">
        <v>143</v>
      </c>
      <c r="Q293" s="19"/>
      <c r="R293" s="19"/>
      <c r="S293" s="19"/>
      <c r="T293" s="19"/>
    </row>
    <row r="294" customFormat="false" ht="23.85" hidden="false" customHeight="false" outlineLevel="0" collapsed="false">
      <c r="A294" s="18" t="s">
        <v>2243</v>
      </c>
      <c r="B294" s="18" t="s">
        <v>93</v>
      </c>
      <c r="C294" s="18" t="s">
        <v>94</v>
      </c>
      <c r="D294" s="18" t="s">
        <v>33</v>
      </c>
      <c r="E294" s="18" t="s">
        <v>17</v>
      </c>
      <c r="F294" s="19" t="s">
        <v>2244</v>
      </c>
      <c r="G294" s="19"/>
      <c r="H294" s="19" t="s">
        <v>2245</v>
      </c>
      <c r="I294" s="19" t="s">
        <v>2246</v>
      </c>
      <c r="J294" s="19" t="s">
        <v>2247</v>
      </c>
      <c r="K294" s="19" t="s">
        <v>2248</v>
      </c>
      <c r="L294" s="19" t="s">
        <v>2249</v>
      </c>
      <c r="M294" s="19"/>
      <c r="N294" s="19"/>
      <c r="O294" s="19" t="s">
        <v>142</v>
      </c>
      <c r="P294" s="19" t="s">
        <v>143</v>
      </c>
      <c r="Q294" s="19"/>
      <c r="R294" s="19"/>
      <c r="S294" s="19"/>
      <c r="T294" s="19"/>
    </row>
    <row r="295" customFormat="false" ht="23.85" hidden="false" customHeight="false" outlineLevel="0" collapsed="false">
      <c r="A295" s="18" t="s">
        <v>2250</v>
      </c>
      <c r="B295" s="18" t="s">
        <v>93</v>
      </c>
      <c r="C295" s="18" t="s">
        <v>94</v>
      </c>
      <c r="D295" s="18" t="s">
        <v>33</v>
      </c>
      <c r="E295" s="18" t="s">
        <v>19</v>
      </c>
      <c r="F295" s="19" t="s">
        <v>2251</v>
      </c>
      <c r="G295" s="19"/>
      <c r="H295" s="19" t="s">
        <v>2252</v>
      </c>
      <c r="I295" s="19" t="s">
        <v>2253</v>
      </c>
      <c r="J295" s="19" t="s">
        <v>2254</v>
      </c>
      <c r="K295" s="19" t="s">
        <v>2255</v>
      </c>
      <c r="L295" s="19" t="s">
        <v>2256</v>
      </c>
      <c r="M295" s="19"/>
      <c r="N295" s="19"/>
      <c r="O295" s="19" t="s">
        <v>142</v>
      </c>
      <c r="P295" s="19" t="s">
        <v>143</v>
      </c>
      <c r="Q295" s="19"/>
      <c r="R295" s="19"/>
      <c r="S295" s="19"/>
      <c r="T295" s="19"/>
    </row>
    <row r="296" customFormat="false" ht="43.25" hidden="false" customHeight="false" outlineLevel="0" collapsed="false">
      <c r="A296" s="18" t="s">
        <v>2257</v>
      </c>
      <c r="B296" s="18" t="s">
        <v>93</v>
      </c>
      <c r="C296" s="18" t="s">
        <v>94</v>
      </c>
      <c r="D296" s="18" t="s">
        <v>33</v>
      </c>
      <c r="E296" s="18" t="s">
        <v>17</v>
      </c>
      <c r="F296" s="19" t="s">
        <v>477</v>
      </c>
      <c r="G296" s="20" t="s">
        <v>2258</v>
      </c>
      <c r="H296" s="19" t="s">
        <v>2259</v>
      </c>
      <c r="I296" s="19" t="s">
        <v>2260</v>
      </c>
      <c r="J296" s="19" t="s">
        <v>2261</v>
      </c>
      <c r="K296" s="19" t="s">
        <v>2262</v>
      </c>
      <c r="L296" s="19" t="s">
        <v>2263</v>
      </c>
      <c r="M296" s="19"/>
      <c r="N296" s="19"/>
      <c r="O296" s="19" t="s">
        <v>142</v>
      </c>
      <c r="P296" s="19" t="s">
        <v>143</v>
      </c>
      <c r="Q296" s="19"/>
      <c r="R296" s="19"/>
      <c r="S296" s="19"/>
      <c r="T296" s="19"/>
    </row>
    <row r="297" customFormat="false" ht="23.85" hidden="false" customHeight="false" outlineLevel="0" collapsed="false">
      <c r="A297" s="18" t="s">
        <v>2264</v>
      </c>
      <c r="B297" s="18" t="s">
        <v>93</v>
      </c>
      <c r="C297" s="18" t="s">
        <v>94</v>
      </c>
      <c r="D297" s="18" t="s">
        <v>34</v>
      </c>
      <c r="E297" s="18" t="s">
        <v>17</v>
      </c>
      <c r="F297" s="19" t="s">
        <v>2265</v>
      </c>
      <c r="G297" s="19"/>
      <c r="H297" s="19" t="s">
        <v>2266</v>
      </c>
      <c r="I297" s="19" t="s">
        <v>2267</v>
      </c>
      <c r="J297" s="19" t="s">
        <v>2268</v>
      </c>
      <c r="K297" s="19" t="s">
        <v>2269</v>
      </c>
      <c r="L297" s="19" t="s">
        <v>2270</v>
      </c>
      <c r="M297" s="19"/>
      <c r="N297" s="19"/>
      <c r="O297" s="19" t="s">
        <v>142</v>
      </c>
      <c r="P297" s="19" t="s">
        <v>143</v>
      </c>
      <c r="Q297" s="19"/>
      <c r="R297" s="19"/>
      <c r="S297" s="19"/>
      <c r="T297" s="19"/>
    </row>
    <row r="298" customFormat="false" ht="23.85" hidden="false" customHeight="false" outlineLevel="0" collapsed="false">
      <c r="A298" s="18" t="s">
        <v>2271</v>
      </c>
      <c r="B298" s="18" t="s">
        <v>93</v>
      </c>
      <c r="C298" s="18" t="s">
        <v>94</v>
      </c>
      <c r="D298" s="18" t="s">
        <v>34</v>
      </c>
      <c r="E298" s="18" t="s">
        <v>17</v>
      </c>
      <c r="F298" s="19" t="s">
        <v>2272</v>
      </c>
      <c r="G298" s="19"/>
      <c r="H298" s="19" t="s">
        <v>2273</v>
      </c>
      <c r="I298" s="19" t="s">
        <v>2274</v>
      </c>
      <c r="J298" s="19" t="s">
        <v>2275</v>
      </c>
      <c r="K298" s="19" t="s">
        <v>2276</v>
      </c>
      <c r="L298" s="19" t="s">
        <v>2277</v>
      </c>
      <c r="M298" s="19"/>
      <c r="N298" s="19"/>
      <c r="O298" s="19" t="s">
        <v>142</v>
      </c>
      <c r="P298" s="19" t="s">
        <v>143</v>
      </c>
      <c r="Q298" s="19"/>
      <c r="R298" s="19"/>
      <c r="S298" s="19"/>
      <c r="T298" s="19"/>
    </row>
    <row r="299" customFormat="false" ht="23.85" hidden="false" customHeight="false" outlineLevel="0" collapsed="false">
      <c r="A299" s="18" t="s">
        <v>2278</v>
      </c>
      <c r="B299" s="18" t="s">
        <v>93</v>
      </c>
      <c r="C299" s="18" t="s">
        <v>94</v>
      </c>
      <c r="D299" s="18" t="s">
        <v>34</v>
      </c>
      <c r="E299" s="18" t="s">
        <v>17</v>
      </c>
      <c r="F299" s="19" t="s">
        <v>2279</v>
      </c>
      <c r="G299" s="19"/>
      <c r="H299" s="19" t="s">
        <v>2280</v>
      </c>
      <c r="I299" s="19" t="s">
        <v>2281</v>
      </c>
      <c r="J299" s="19" t="s">
        <v>2282</v>
      </c>
      <c r="K299" s="19" t="s">
        <v>2283</v>
      </c>
      <c r="L299" s="19" t="s">
        <v>2284</v>
      </c>
      <c r="M299" s="19"/>
      <c r="N299" s="19"/>
      <c r="O299" s="19" t="s">
        <v>142</v>
      </c>
      <c r="P299" s="19" t="s">
        <v>143</v>
      </c>
      <c r="Q299" s="19"/>
      <c r="R299" s="19"/>
      <c r="S299" s="19"/>
      <c r="T299" s="19"/>
    </row>
    <row r="300" customFormat="false" ht="32.8" hidden="false" customHeight="false" outlineLevel="0" collapsed="false">
      <c r="A300" s="18" t="s">
        <v>2285</v>
      </c>
      <c r="B300" s="18" t="s">
        <v>93</v>
      </c>
      <c r="C300" s="18" t="s">
        <v>94</v>
      </c>
      <c r="D300" s="18" t="s">
        <v>34</v>
      </c>
      <c r="E300" s="18" t="s">
        <v>17</v>
      </c>
      <c r="F300" s="19" t="s">
        <v>2286</v>
      </c>
      <c r="G300" s="20" t="s">
        <v>2287</v>
      </c>
      <c r="H300" s="19" t="s">
        <v>2288</v>
      </c>
      <c r="I300" s="19" t="s">
        <v>723</v>
      </c>
      <c r="J300" s="19" t="s">
        <v>2289</v>
      </c>
      <c r="K300" s="19" t="s">
        <v>2290</v>
      </c>
      <c r="L300" s="19" t="s">
        <v>2291</v>
      </c>
      <c r="M300" s="19"/>
      <c r="N300" s="19"/>
      <c r="O300" s="19" t="s">
        <v>142</v>
      </c>
      <c r="P300" s="19" t="s">
        <v>143</v>
      </c>
      <c r="Q300" s="19"/>
      <c r="R300" s="19"/>
      <c r="S300" s="19"/>
      <c r="T300" s="19"/>
    </row>
    <row r="301" customFormat="false" ht="35.05" hidden="false" customHeight="false" outlineLevel="0" collapsed="false">
      <c r="A301" s="18" t="s">
        <v>2292</v>
      </c>
      <c r="B301" s="18" t="s">
        <v>93</v>
      </c>
      <c r="C301" s="18" t="s">
        <v>94</v>
      </c>
      <c r="D301" s="18" t="s">
        <v>35</v>
      </c>
      <c r="E301" s="18" t="s">
        <v>17</v>
      </c>
      <c r="F301" s="19" t="s">
        <v>2293</v>
      </c>
      <c r="G301" s="19"/>
      <c r="H301" s="19" t="s">
        <v>2294</v>
      </c>
      <c r="I301" s="19" t="s">
        <v>2295</v>
      </c>
      <c r="J301" s="19" t="s">
        <v>2296</v>
      </c>
      <c r="K301" s="19" t="s">
        <v>2297</v>
      </c>
      <c r="L301" s="19" t="s">
        <v>2298</v>
      </c>
      <c r="M301" s="19"/>
      <c r="N301" s="19"/>
      <c r="O301" s="19" t="s">
        <v>142</v>
      </c>
      <c r="P301" s="19" t="s">
        <v>143</v>
      </c>
      <c r="Q301" s="19"/>
      <c r="R301" s="19"/>
      <c r="S301" s="19"/>
      <c r="T301" s="19"/>
    </row>
    <row r="302" customFormat="false" ht="23.85" hidden="false" customHeight="false" outlineLevel="0" collapsed="false">
      <c r="A302" s="18" t="s">
        <v>2299</v>
      </c>
      <c r="B302" s="18" t="s">
        <v>93</v>
      </c>
      <c r="C302" s="18" t="s">
        <v>94</v>
      </c>
      <c r="D302" s="18" t="s">
        <v>35</v>
      </c>
      <c r="E302" s="18" t="s">
        <v>17</v>
      </c>
      <c r="F302" s="19" t="s">
        <v>2300</v>
      </c>
      <c r="G302" s="19"/>
      <c r="H302" s="19" t="s">
        <v>2301</v>
      </c>
      <c r="I302" s="19" t="s">
        <v>2302</v>
      </c>
      <c r="J302" s="19" t="s">
        <v>2303</v>
      </c>
      <c r="K302" s="19" t="s">
        <v>2304</v>
      </c>
      <c r="L302" s="19" t="s">
        <v>2305</v>
      </c>
      <c r="M302" s="19"/>
      <c r="N302" s="19"/>
      <c r="O302" s="19" t="s">
        <v>142</v>
      </c>
      <c r="P302" s="19" t="s">
        <v>143</v>
      </c>
      <c r="Q302" s="19"/>
      <c r="R302" s="19"/>
      <c r="S302" s="19"/>
      <c r="T302" s="19"/>
    </row>
    <row r="303" customFormat="false" ht="23.85" hidden="false" customHeight="false" outlineLevel="0" collapsed="false">
      <c r="A303" s="18" t="s">
        <v>2306</v>
      </c>
      <c r="B303" s="18" t="s">
        <v>93</v>
      </c>
      <c r="C303" s="18" t="s">
        <v>94</v>
      </c>
      <c r="D303" s="18" t="s">
        <v>35</v>
      </c>
      <c r="E303" s="18" t="s">
        <v>17</v>
      </c>
      <c r="F303" s="19" t="s">
        <v>2307</v>
      </c>
      <c r="G303" s="19"/>
      <c r="H303" s="19" t="s">
        <v>2308</v>
      </c>
      <c r="I303" s="19" t="s">
        <v>2309</v>
      </c>
      <c r="J303" s="19" t="s">
        <v>2310</v>
      </c>
      <c r="K303" s="19" t="s">
        <v>2246</v>
      </c>
      <c r="L303" s="19" t="s">
        <v>2311</v>
      </c>
      <c r="M303" s="19"/>
      <c r="N303" s="19"/>
      <c r="O303" s="19" t="s">
        <v>142</v>
      </c>
      <c r="P303" s="19" t="s">
        <v>143</v>
      </c>
      <c r="Q303" s="19"/>
      <c r="R303" s="19"/>
      <c r="S303" s="19"/>
      <c r="T303" s="19"/>
    </row>
    <row r="304" customFormat="false" ht="53.7" hidden="false" customHeight="false" outlineLevel="0" collapsed="false">
      <c r="A304" s="18" t="s">
        <v>2312</v>
      </c>
      <c r="B304" s="18" t="s">
        <v>93</v>
      </c>
      <c r="C304" s="18" t="s">
        <v>94</v>
      </c>
      <c r="D304" s="18" t="s">
        <v>35</v>
      </c>
      <c r="E304" s="18" t="s">
        <v>17</v>
      </c>
      <c r="F304" s="19" t="s">
        <v>2313</v>
      </c>
      <c r="G304" s="20" t="s">
        <v>2314</v>
      </c>
      <c r="H304" s="19" t="s">
        <v>2315</v>
      </c>
      <c r="I304" s="19" t="s">
        <v>2316</v>
      </c>
      <c r="J304" s="19" t="s">
        <v>2317</v>
      </c>
      <c r="K304" s="19" t="s">
        <v>2318</v>
      </c>
      <c r="L304" s="19" t="s">
        <v>2319</v>
      </c>
      <c r="M304" s="19"/>
      <c r="N304" s="19"/>
      <c r="O304" s="19" t="s">
        <v>142</v>
      </c>
      <c r="P304" s="19" t="s">
        <v>143</v>
      </c>
      <c r="Q304" s="19"/>
      <c r="R304" s="19"/>
      <c r="S304" s="19"/>
      <c r="T304" s="19"/>
    </row>
    <row r="305" customFormat="false" ht="35.05" hidden="false" customHeight="false" outlineLevel="0" collapsed="false">
      <c r="A305" s="18" t="s">
        <v>2320</v>
      </c>
      <c r="B305" s="18" t="s">
        <v>93</v>
      </c>
      <c r="C305" s="18" t="s">
        <v>96</v>
      </c>
      <c r="D305" s="18" t="s">
        <v>33</v>
      </c>
      <c r="E305" s="18" t="s">
        <v>17</v>
      </c>
      <c r="F305" s="19" t="s">
        <v>2321</v>
      </c>
      <c r="G305" s="19"/>
      <c r="H305" s="19" t="s">
        <v>2322</v>
      </c>
      <c r="I305" s="19" t="s">
        <v>2323</v>
      </c>
      <c r="J305" s="19" t="s">
        <v>2324</v>
      </c>
      <c r="K305" s="19" t="s">
        <v>2325</v>
      </c>
      <c r="L305" s="19" t="s">
        <v>2326</v>
      </c>
      <c r="M305" s="19"/>
      <c r="N305" s="19"/>
      <c r="O305" s="19" t="s">
        <v>142</v>
      </c>
      <c r="P305" s="19" t="s">
        <v>143</v>
      </c>
      <c r="Q305" s="19"/>
      <c r="R305" s="19"/>
      <c r="S305" s="19"/>
      <c r="T305" s="19"/>
    </row>
    <row r="306" customFormat="false" ht="23.85" hidden="false" customHeight="false" outlineLevel="0" collapsed="false">
      <c r="A306" s="18" t="s">
        <v>2327</v>
      </c>
      <c r="B306" s="18" t="s">
        <v>93</v>
      </c>
      <c r="C306" s="18" t="s">
        <v>96</v>
      </c>
      <c r="D306" s="18" t="s">
        <v>33</v>
      </c>
      <c r="E306" s="18" t="s">
        <v>17</v>
      </c>
      <c r="F306" s="19" t="s">
        <v>2328</v>
      </c>
      <c r="G306" s="19"/>
      <c r="H306" s="19" t="s">
        <v>2329</v>
      </c>
      <c r="I306" s="19" t="s">
        <v>2330</v>
      </c>
      <c r="J306" s="19" t="s">
        <v>2331</v>
      </c>
      <c r="K306" s="19" t="s">
        <v>2332</v>
      </c>
      <c r="L306" s="19" t="s">
        <v>2333</v>
      </c>
      <c r="M306" s="19"/>
      <c r="N306" s="19"/>
      <c r="O306" s="19" t="s">
        <v>142</v>
      </c>
      <c r="P306" s="19" t="s">
        <v>143</v>
      </c>
      <c r="Q306" s="19"/>
      <c r="R306" s="19"/>
      <c r="S306" s="19"/>
      <c r="T306" s="19"/>
    </row>
    <row r="307" customFormat="false" ht="23.85" hidden="false" customHeight="false" outlineLevel="0" collapsed="false">
      <c r="A307" s="18" t="s">
        <v>2334</v>
      </c>
      <c r="B307" s="18" t="s">
        <v>93</v>
      </c>
      <c r="C307" s="18" t="s">
        <v>96</v>
      </c>
      <c r="D307" s="18" t="s">
        <v>33</v>
      </c>
      <c r="E307" s="18" t="s">
        <v>19</v>
      </c>
      <c r="F307" s="19" t="s">
        <v>2335</v>
      </c>
      <c r="G307" s="19"/>
      <c r="H307" s="19" t="s">
        <v>2336</v>
      </c>
      <c r="I307" s="19" t="s">
        <v>2337</v>
      </c>
      <c r="J307" s="19" t="s">
        <v>2338</v>
      </c>
      <c r="K307" s="19" t="s">
        <v>2339</v>
      </c>
      <c r="L307" s="19" t="s">
        <v>2340</v>
      </c>
      <c r="M307" s="19"/>
      <c r="N307" s="19"/>
      <c r="O307" s="19" t="s">
        <v>142</v>
      </c>
      <c r="P307" s="19" t="s">
        <v>143</v>
      </c>
      <c r="Q307" s="19"/>
      <c r="R307" s="19"/>
      <c r="S307" s="19"/>
      <c r="T307" s="19"/>
    </row>
    <row r="308" customFormat="false" ht="85.05" hidden="false" customHeight="false" outlineLevel="0" collapsed="false">
      <c r="A308" s="18" t="s">
        <v>2341</v>
      </c>
      <c r="B308" s="18" t="s">
        <v>93</v>
      </c>
      <c r="C308" s="18" t="s">
        <v>96</v>
      </c>
      <c r="D308" s="18" t="s">
        <v>33</v>
      </c>
      <c r="E308" s="18" t="s">
        <v>17</v>
      </c>
      <c r="F308" s="19" t="s">
        <v>2342</v>
      </c>
      <c r="G308" s="20" t="s">
        <v>2343</v>
      </c>
      <c r="H308" s="19" t="s">
        <v>2344</v>
      </c>
      <c r="I308" s="19" t="s">
        <v>2345</v>
      </c>
      <c r="J308" s="19" t="s">
        <v>2346</v>
      </c>
      <c r="K308" s="19" t="s">
        <v>2347</v>
      </c>
      <c r="L308" s="19" t="s">
        <v>2348</v>
      </c>
      <c r="M308" s="19"/>
      <c r="N308" s="19"/>
      <c r="O308" s="19" t="s">
        <v>142</v>
      </c>
      <c r="P308" s="19" t="s">
        <v>143</v>
      </c>
      <c r="Q308" s="19"/>
      <c r="R308" s="19"/>
      <c r="S308" s="19"/>
      <c r="T308" s="19"/>
    </row>
    <row r="309" customFormat="false" ht="23.85" hidden="false" customHeight="false" outlineLevel="0" collapsed="false">
      <c r="A309" s="18" t="s">
        <v>2349</v>
      </c>
      <c r="B309" s="18" t="s">
        <v>93</v>
      </c>
      <c r="C309" s="18" t="s">
        <v>96</v>
      </c>
      <c r="D309" s="18" t="s">
        <v>34</v>
      </c>
      <c r="E309" s="18" t="s">
        <v>17</v>
      </c>
      <c r="F309" s="19" t="s">
        <v>2350</v>
      </c>
      <c r="G309" s="19"/>
      <c r="H309" s="19" t="s">
        <v>2351</v>
      </c>
      <c r="I309" s="19" t="s">
        <v>2352</v>
      </c>
      <c r="J309" s="19" t="s">
        <v>2353</v>
      </c>
      <c r="K309" s="19" t="s">
        <v>2354</v>
      </c>
      <c r="L309" s="19" t="s">
        <v>2355</v>
      </c>
      <c r="M309" s="19"/>
      <c r="N309" s="19"/>
      <c r="O309" s="19" t="s">
        <v>142</v>
      </c>
      <c r="P309" s="19" t="s">
        <v>143</v>
      </c>
      <c r="Q309" s="19"/>
      <c r="R309" s="19"/>
      <c r="S309" s="19"/>
      <c r="T309" s="19"/>
    </row>
    <row r="310" customFormat="false" ht="23.85" hidden="false" customHeight="false" outlineLevel="0" collapsed="false">
      <c r="A310" s="18" t="s">
        <v>2356</v>
      </c>
      <c r="B310" s="18" t="s">
        <v>93</v>
      </c>
      <c r="C310" s="18" t="s">
        <v>96</v>
      </c>
      <c r="D310" s="18" t="s">
        <v>34</v>
      </c>
      <c r="E310" s="18" t="s">
        <v>17</v>
      </c>
      <c r="F310" s="19" t="s">
        <v>2357</v>
      </c>
      <c r="G310" s="19"/>
      <c r="H310" s="19" t="s">
        <v>2358</v>
      </c>
      <c r="I310" s="19" t="s">
        <v>2359</v>
      </c>
      <c r="J310" s="19" t="s">
        <v>2360</v>
      </c>
      <c r="K310" s="19" t="s">
        <v>2361</v>
      </c>
      <c r="L310" s="19" t="s">
        <v>2362</v>
      </c>
      <c r="M310" s="19"/>
      <c r="N310" s="19"/>
      <c r="O310" s="19" t="s">
        <v>142</v>
      </c>
      <c r="P310" s="19" t="s">
        <v>143</v>
      </c>
      <c r="Q310" s="19"/>
      <c r="R310" s="19"/>
      <c r="S310" s="19"/>
      <c r="T310" s="19"/>
    </row>
    <row r="311" customFormat="false" ht="23.85" hidden="false" customHeight="false" outlineLevel="0" collapsed="false">
      <c r="A311" s="18" t="s">
        <v>2363</v>
      </c>
      <c r="B311" s="18" t="s">
        <v>93</v>
      </c>
      <c r="C311" s="18" t="s">
        <v>96</v>
      </c>
      <c r="D311" s="18" t="s">
        <v>34</v>
      </c>
      <c r="E311" s="18" t="s">
        <v>17</v>
      </c>
      <c r="F311" s="19" t="s">
        <v>2364</v>
      </c>
      <c r="G311" s="19"/>
      <c r="H311" s="19" t="s">
        <v>2365</v>
      </c>
      <c r="I311" s="19" t="s">
        <v>2366</v>
      </c>
      <c r="J311" s="19" t="s">
        <v>2367</v>
      </c>
      <c r="K311" s="19" t="s">
        <v>2368</v>
      </c>
      <c r="L311" s="19" t="s">
        <v>2369</v>
      </c>
      <c r="M311" s="19"/>
      <c r="N311" s="19"/>
      <c r="O311" s="19" t="s">
        <v>142</v>
      </c>
      <c r="P311" s="19" t="s">
        <v>143</v>
      </c>
      <c r="Q311" s="19"/>
      <c r="R311" s="19"/>
      <c r="S311" s="19"/>
      <c r="T311" s="19"/>
    </row>
    <row r="312" customFormat="false" ht="95.5" hidden="false" customHeight="false" outlineLevel="0" collapsed="false">
      <c r="A312" s="18" t="s">
        <v>2370</v>
      </c>
      <c r="B312" s="18" t="s">
        <v>93</v>
      </c>
      <c r="C312" s="18" t="s">
        <v>96</v>
      </c>
      <c r="D312" s="18" t="s">
        <v>34</v>
      </c>
      <c r="E312" s="18" t="s">
        <v>17</v>
      </c>
      <c r="F312" s="19" t="s">
        <v>2371</v>
      </c>
      <c r="G312" s="20" t="s">
        <v>2372</v>
      </c>
      <c r="H312" s="19" t="s">
        <v>2373</v>
      </c>
      <c r="I312" s="19" t="s">
        <v>665</v>
      </c>
      <c r="J312" s="19" t="s">
        <v>2374</v>
      </c>
      <c r="K312" s="19" t="s">
        <v>2375</v>
      </c>
      <c r="L312" s="19" t="s">
        <v>2376</v>
      </c>
      <c r="M312" s="19"/>
      <c r="N312" s="19"/>
      <c r="O312" s="19" t="s">
        <v>142</v>
      </c>
      <c r="P312" s="19" t="s">
        <v>143</v>
      </c>
      <c r="Q312" s="19"/>
      <c r="R312" s="19"/>
      <c r="S312" s="19"/>
      <c r="T312" s="19"/>
    </row>
    <row r="313" customFormat="false" ht="23.85" hidden="false" customHeight="false" outlineLevel="0" collapsed="false">
      <c r="A313" s="18" t="s">
        <v>2377</v>
      </c>
      <c r="B313" s="18" t="s">
        <v>93</v>
      </c>
      <c r="C313" s="18" t="s">
        <v>96</v>
      </c>
      <c r="D313" s="18" t="s">
        <v>35</v>
      </c>
      <c r="E313" s="18" t="s">
        <v>17</v>
      </c>
      <c r="F313" s="19" t="s">
        <v>2378</v>
      </c>
      <c r="G313" s="19"/>
      <c r="H313" s="19" t="s">
        <v>2379</v>
      </c>
      <c r="I313" s="19" t="s">
        <v>2380</v>
      </c>
      <c r="J313" s="19" t="s">
        <v>2381</v>
      </c>
      <c r="K313" s="19" t="s">
        <v>2382</v>
      </c>
      <c r="L313" s="19" t="s">
        <v>2383</v>
      </c>
      <c r="M313" s="19"/>
      <c r="N313" s="19"/>
      <c r="O313" s="19" t="s">
        <v>142</v>
      </c>
      <c r="P313" s="19" t="s">
        <v>143</v>
      </c>
      <c r="Q313" s="19"/>
      <c r="R313" s="19"/>
      <c r="S313" s="19"/>
      <c r="T313" s="19"/>
    </row>
    <row r="314" customFormat="false" ht="23.85" hidden="false" customHeight="false" outlineLevel="0" collapsed="false">
      <c r="A314" s="18" t="s">
        <v>2384</v>
      </c>
      <c r="B314" s="18" t="s">
        <v>93</v>
      </c>
      <c r="C314" s="18" t="s">
        <v>96</v>
      </c>
      <c r="D314" s="18" t="s">
        <v>35</v>
      </c>
      <c r="E314" s="18" t="s">
        <v>17</v>
      </c>
      <c r="F314" s="19" t="s">
        <v>2385</v>
      </c>
      <c r="G314" s="19"/>
      <c r="H314" s="19" t="s">
        <v>2386</v>
      </c>
      <c r="I314" s="19" t="s">
        <v>2387</v>
      </c>
      <c r="J314" s="19" t="s">
        <v>1634</v>
      </c>
      <c r="K314" s="19" t="s">
        <v>2388</v>
      </c>
      <c r="L314" s="19" t="s">
        <v>2389</v>
      </c>
      <c r="M314" s="19"/>
      <c r="N314" s="19"/>
      <c r="O314" s="19" t="s">
        <v>142</v>
      </c>
      <c r="P314" s="19" t="s">
        <v>143</v>
      </c>
      <c r="Q314" s="19"/>
      <c r="R314" s="19"/>
      <c r="S314" s="19"/>
      <c r="T314" s="19"/>
    </row>
    <row r="315" customFormat="false" ht="35.05" hidden="false" customHeight="false" outlineLevel="0" collapsed="false">
      <c r="A315" s="18" t="s">
        <v>2390</v>
      </c>
      <c r="B315" s="18" t="s">
        <v>93</v>
      </c>
      <c r="C315" s="18" t="s">
        <v>96</v>
      </c>
      <c r="D315" s="18" t="s">
        <v>35</v>
      </c>
      <c r="E315" s="18" t="s">
        <v>17</v>
      </c>
      <c r="F315" s="19" t="s">
        <v>2391</v>
      </c>
      <c r="G315" s="19"/>
      <c r="H315" s="19" t="s">
        <v>2392</v>
      </c>
      <c r="I315" s="19" t="s">
        <v>2393</v>
      </c>
      <c r="J315" s="19" t="s">
        <v>2394</v>
      </c>
      <c r="K315" s="19" t="s">
        <v>2395</v>
      </c>
      <c r="L315" s="19" t="s">
        <v>2396</v>
      </c>
      <c r="M315" s="19"/>
      <c r="N315" s="19"/>
      <c r="O315" s="19" t="s">
        <v>142</v>
      </c>
      <c r="P315" s="19" t="s">
        <v>143</v>
      </c>
      <c r="Q315" s="19"/>
      <c r="R315" s="19"/>
      <c r="S315" s="19"/>
      <c r="T315" s="19"/>
    </row>
    <row r="316" customFormat="false" ht="32.8" hidden="false" customHeight="false" outlineLevel="0" collapsed="false">
      <c r="A316" s="18" t="s">
        <v>2397</v>
      </c>
      <c r="B316" s="18" t="s">
        <v>93</v>
      </c>
      <c r="C316" s="18" t="s">
        <v>96</v>
      </c>
      <c r="D316" s="18" t="s">
        <v>35</v>
      </c>
      <c r="E316" s="18" t="s">
        <v>17</v>
      </c>
      <c r="F316" s="19" t="s">
        <v>2398</v>
      </c>
      <c r="G316" s="20" t="s">
        <v>2399</v>
      </c>
      <c r="H316" s="19" t="s">
        <v>2400</v>
      </c>
      <c r="I316" s="19" t="s">
        <v>2401</v>
      </c>
      <c r="J316" s="19" t="s">
        <v>2402</v>
      </c>
      <c r="K316" s="19" t="s">
        <v>900</v>
      </c>
      <c r="L316" s="19" t="s">
        <v>2403</v>
      </c>
      <c r="M316" s="19"/>
      <c r="N316" s="19"/>
      <c r="O316" s="19" t="s">
        <v>142</v>
      </c>
      <c r="P316" s="19" t="s">
        <v>143</v>
      </c>
      <c r="Q316" s="19"/>
      <c r="R316" s="19"/>
      <c r="S316" s="19"/>
      <c r="T316" s="19"/>
    </row>
    <row r="317" customFormat="false" ht="23.85" hidden="false" customHeight="false" outlineLevel="0" collapsed="false">
      <c r="A317" s="18" t="s">
        <v>2404</v>
      </c>
      <c r="B317" s="18" t="s">
        <v>93</v>
      </c>
      <c r="C317" s="18" t="s">
        <v>98</v>
      </c>
      <c r="D317" s="18" t="s">
        <v>33</v>
      </c>
      <c r="E317" s="18" t="s">
        <v>17</v>
      </c>
      <c r="F317" s="19" t="s">
        <v>2405</v>
      </c>
      <c r="G317" s="19"/>
      <c r="H317" s="19" t="s">
        <v>2406</v>
      </c>
      <c r="I317" s="19" t="s">
        <v>2407</v>
      </c>
      <c r="J317" s="19" t="s">
        <v>2408</v>
      </c>
      <c r="K317" s="19" t="s">
        <v>2409</v>
      </c>
      <c r="L317" s="19" t="s">
        <v>2410</v>
      </c>
      <c r="M317" s="19"/>
      <c r="N317" s="19"/>
      <c r="O317" s="19" t="s">
        <v>142</v>
      </c>
      <c r="P317" s="19" t="s">
        <v>143</v>
      </c>
      <c r="Q317" s="19"/>
      <c r="R317" s="19"/>
      <c r="S317" s="19"/>
      <c r="T317" s="19"/>
    </row>
    <row r="318" customFormat="false" ht="15" hidden="false" customHeight="false" outlineLevel="0" collapsed="false">
      <c r="A318" s="18" t="s">
        <v>2411</v>
      </c>
      <c r="B318" s="18" t="s">
        <v>93</v>
      </c>
      <c r="C318" s="18" t="s">
        <v>98</v>
      </c>
      <c r="D318" s="18" t="s">
        <v>33</v>
      </c>
      <c r="E318" s="18" t="s">
        <v>17</v>
      </c>
      <c r="F318" s="19" t="s">
        <v>2412</v>
      </c>
      <c r="G318" s="19"/>
      <c r="H318" s="19" t="s">
        <v>2413</v>
      </c>
      <c r="I318" s="19" t="s">
        <v>2414</v>
      </c>
      <c r="J318" s="19" t="s">
        <v>2415</v>
      </c>
      <c r="K318" s="19" t="s">
        <v>2416</v>
      </c>
      <c r="L318" s="19" t="s">
        <v>2417</v>
      </c>
      <c r="M318" s="19"/>
      <c r="N318" s="19"/>
      <c r="O318" s="19" t="s">
        <v>142</v>
      </c>
      <c r="P318" s="19" t="s">
        <v>143</v>
      </c>
      <c r="Q318" s="19"/>
      <c r="R318" s="19"/>
      <c r="S318" s="19"/>
      <c r="T318" s="19"/>
    </row>
    <row r="319" customFormat="false" ht="23.85" hidden="false" customHeight="false" outlineLevel="0" collapsed="false">
      <c r="A319" s="18" t="s">
        <v>2418</v>
      </c>
      <c r="B319" s="18" t="s">
        <v>93</v>
      </c>
      <c r="C319" s="18" t="s">
        <v>98</v>
      </c>
      <c r="D319" s="18" t="s">
        <v>33</v>
      </c>
      <c r="E319" s="18" t="s">
        <v>19</v>
      </c>
      <c r="F319" s="19" t="s">
        <v>2419</v>
      </c>
      <c r="G319" s="19"/>
      <c r="H319" s="19" t="s">
        <v>2420</v>
      </c>
      <c r="I319" s="19" t="s">
        <v>2421</v>
      </c>
      <c r="J319" s="19" t="s">
        <v>2336</v>
      </c>
      <c r="K319" s="19" t="s">
        <v>2422</v>
      </c>
      <c r="L319" s="19" t="s">
        <v>2423</v>
      </c>
      <c r="M319" s="19"/>
      <c r="N319" s="19"/>
      <c r="O319" s="19" t="s">
        <v>142</v>
      </c>
      <c r="P319" s="19" t="s">
        <v>143</v>
      </c>
      <c r="Q319" s="19"/>
      <c r="R319" s="19"/>
      <c r="S319" s="19"/>
      <c r="T319" s="19"/>
    </row>
    <row r="320" customFormat="false" ht="22.35" hidden="false" customHeight="false" outlineLevel="0" collapsed="false">
      <c r="A320" s="18" t="s">
        <v>2424</v>
      </c>
      <c r="B320" s="18" t="s">
        <v>93</v>
      </c>
      <c r="C320" s="18" t="s">
        <v>98</v>
      </c>
      <c r="D320" s="18" t="s">
        <v>33</v>
      </c>
      <c r="E320" s="18" t="s">
        <v>17</v>
      </c>
      <c r="F320" s="19" t="s">
        <v>2425</v>
      </c>
      <c r="G320" s="20" t="s">
        <v>2426</v>
      </c>
      <c r="H320" s="19" t="s">
        <v>2427</v>
      </c>
      <c r="I320" s="19" t="s">
        <v>2428</v>
      </c>
      <c r="J320" s="19" t="s">
        <v>723</v>
      </c>
      <c r="K320" s="19" t="s">
        <v>2429</v>
      </c>
      <c r="L320" s="19" t="s">
        <v>2430</v>
      </c>
      <c r="M320" s="19"/>
      <c r="N320" s="19"/>
      <c r="O320" s="19" t="s">
        <v>142</v>
      </c>
      <c r="P320" s="19" t="s">
        <v>143</v>
      </c>
      <c r="Q320" s="19"/>
      <c r="R320" s="19"/>
      <c r="S320" s="19"/>
      <c r="T320" s="19"/>
    </row>
    <row r="321" customFormat="false" ht="23.85" hidden="false" customHeight="false" outlineLevel="0" collapsed="false">
      <c r="A321" s="18" t="s">
        <v>2431</v>
      </c>
      <c r="B321" s="18" t="s">
        <v>93</v>
      </c>
      <c r="C321" s="18" t="s">
        <v>98</v>
      </c>
      <c r="D321" s="18" t="s">
        <v>34</v>
      </c>
      <c r="E321" s="18" t="s">
        <v>17</v>
      </c>
      <c r="F321" s="19" t="s">
        <v>2432</v>
      </c>
      <c r="G321" s="19"/>
      <c r="H321" s="19" t="s">
        <v>2433</v>
      </c>
      <c r="I321" s="19" t="s">
        <v>2434</v>
      </c>
      <c r="J321" s="19" t="s">
        <v>2435</v>
      </c>
      <c r="K321" s="19" t="s">
        <v>631</v>
      </c>
      <c r="L321" s="19" t="s">
        <v>2436</v>
      </c>
      <c r="M321" s="19"/>
      <c r="N321" s="19"/>
      <c r="O321" s="19" t="s">
        <v>142</v>
      </c>
      <c r="P321" s="19" t="s">
        <v>143</v>
      </c>
      <c r="Q321" s="19"/>
      <c r="R321" s="19"/>
      <c r="S321" s="19"/>
      <c r="T321" s="19"/>
    </row>
    <row r="322" customFormat="false" ht="35.05" hidden="false" customHeight="false" outlineLevel="0" collapsed="false">
      <c r="A322" s="18" t="s">
        <v>2437</v>
      </c>
      <c r="B322" s="18" t="s">
        <v>93</v>
      </c>
      <c r="C322" s="18" t="s">
        <v>98</v>
      </c>
      <c r="D322" s="18" t="s">
        <v>34</v>
      </c>
      <c r="E322" s="18" t="s">
        <v>17</v>
      </c>
      <c r="F322" s="19" t="s">
        <v>2438</v>
      </c>
      <c r="G322" s="19"/>
      <c r="H322" s="19" t="s">
        <v>2439</v>
      </c>
      <c r="I322" s="19" t="s">
        <v>2440</v>
      </c>
      <c r="J322" s="19" t="s">
        <v>2441</v>
      </c>
      <c r="K322" s="19" t="s">
        <v>2442</v>
      </c>
      <c r="L322" s="19" t="s">
        <v>2443</v>
      </c>
      <c r="M322" s="19"/>
      <c r="N322" s="19"/>
      <c r="O322" s="19" t="s">
        <v>142</v>
      </c>
      <c r="P322" s="19" t="s">
        <v>143</v>
      </c>
      <c r="Q322" s="19"/>
      <c r="R322" s="19"/>
      <c r="S322" s="19"/>
      <c r="T322" s="19"/>
    </row>
    <row r="323" customFormat="false" ht="35.05" hidden="false" customHeight="false" outlineLevel="0" collapsed="false">
      <c r="A323" s="18" t="s">
        <v>2444</v>
      </c>
      <c r="B323" s="18" t="s">
        <v>93</v>
      </c>
      <c r="C323" s="18" t="s">
        <v>98</v>
      </c>
      <c r="D323" s="18" t="s">
        <v>34</v>
      </c>
      <c r="E323" s="18" t="s">
        <v>17</v>
      </c>
      <c r="F323" s="19" t="s">
        <v>2445</v>
      </c>
      <c r="G323" s="19"/>
      <c r="H323" s="19" t="s">
        <v>2446</v>
      </c>
      <c r="I323" s="19" t="s">
        <v>2447</v>
      </c>
      <c r="J323" s="19" t="s">
        <v>2448</v>
      </c>
      <c r="K323" s="19" t="s">
        <v>2449</v>
      </c>
      <c r="L323" s="19" t="s">
        <v>2450</v>
      </c>
      <c r="M323" s="19"/>
      <c r="N323" s="19"/>
      <c r="O323" s="19" t="s">
        <v>142</v>
      </c>
      <c r="P323" s="19" t="s">
        <v>143</v>
      </c>
      <c r="Q323" s="19"/>
      <c r="R323" s="19"/>
      <c r="S323" s="19"/>
      <c r="T323" s="19"/>
    </row>
    <row r="324" customFormat="false" ht="74.6" hidden="false" customHeight="false" outlineLevel="0" collapsed="false">
      <c r="A324" s="18" t="s">
        <v>2451</v>
      </c>
      <c r="B324" s="18" t="s">
        <v>93</v>
      </c>
      <c r="C324" s="18" t="s">
        <v>98</v>
      </c>
      <c r="D324" s="18" t="s">
        <v>34</v>
      </c>
      <c r="E324" s="18" t="s">
        <v>17</v>
      </c>
      <c r="F324" s="19" t="s">
        <v>2452</v>
      </c>
      <c r="G324" s="20" t="s">
        <v>2453</v>
      </c>
      <c r="H324" s="19" t="s">
        <v>2454</v>
      </c>
      <c r="I324" s="19" t="s">
        <v>2455</v>
      </c>
      <c r="J324" s="19" t="s">
        <v>2456</v>
      </c>
      <c r="K324" s="19" t="s">
        <v>2457</v>
      </c>
      <c r="L324" s="19" t="s">
        <v>2458</v>
      </c>
      <c r="M324" s="19"/>
      <c r="N324" s="19"/>
      <c r="O324" s="19" t="s">
        <v>142</v>
      </c>
      <c r="P324" s="19" t="s">
        <v>143</v>
      </c>
      <c r="Q324" s="19"/>
      <c r="R324" s="19"/>
      <c r="S324" s="19"/>
      <c r="T324" s="19"/>
    </row>
    <row r="325" customFormat="false" ht="23.85" hidden="false" customHeight="false" outlineLevel="0" collapsed="false">
      <c r="A325" s="18" t="s">
        <v>2459</v>
      </c>
      <c r="B325" s="18" t="s">
        <v>93</v>
      </c>
      <c r="C325" s="18" t="s">
        <v>98</v>
      </c>
      <c r="D325" s="18" t="s">
        <v>35</v>
      </c>
      <c r="E325" s="18" t="s">
        <v>17</v>
      </c>
      <c r="F325" s="19" t="s">
        <v>2460</v>
      </c>
      <c r="G325" s="19"/>
      <c r="H325" s="19" t="s">
        <v>2461</v>
      </c>
      <c r="I325" s="19" t="s">
        <v>2462</v>
      </c>
      <c r="J325" s="19" t="s">
        <v>2463</v>
      </c>
      <c r="K325" s="19" t="s">
        <v>2464</v>
      </c>
      <c r="L325" s="19" t="s">
        <v>2465</v>
      </c>
      <c r="M325" s="19"/>
      <c r="N325" s="19"/>
      <c r="O325" s="19" t="s">
        <v>142</v>
      </c>
      <c r="P325" s="19" t="s">
        <v>143</v>
      </c>
      <c r="Q325" s="19"/>
      <c r="R325" s="19"/>
      <c r="S325" s="19"/>
      <c r="T325" s="19"/>
    </row>
    <row r="326" customFormat="false" ht="23.85" hidden="false" customHeight="false" outlineLevel="0" collapsed="false">
      <c r="A326" s="18" t="s">
        <v>2466</v>
      </c>
      <c r="B326" s="18" t="s">
        <v>93</v>
      </c>
      <c r="C326" s="18" t="s">
        <v>98</v>
      </c>
      <c r="D326" s="18" t="s">
        <v>35</v>
      </c>
      <c r="E326" s="18" t="s">
        <v>17</v>
      </c>
      <c r="F326" s="19" t="s">
        <v>2467</v>
      </c>
      <c r="G326" s="19"/>
      <c r="H326" s="19" t="s">
        <v>2468</v>
      </c>
      <c r="I326" s="19" t="s">
        <v>2469</v>
      </c>
      <c r="J326" s="19" t="s">
        <v>1324</v>
      </c>
      <c r="K326" s="19" t="s">
        <v>2470</v>
      </c>
      <c r="L326" s="19" t="s">
        <v>2471</v>
      </c>
      <c r="M326" s="19"/>
      <c r="N326" s="19"/>
      <c r="O326" s="19" t="s">
        <v>142</v>
      </c>
      <c r="P326" s="19" t="s">
        <v>143</v>
      </c>
      <c r="Q326" s="19"/>
      <c r="R326" s="19"/>
      <c r="S326" s="19"/>
      <c r="T326" s="19"/>
    </row>
    <row r="327" customFormat="false" ht="23.85" hidden="false" customHeight="false" outlineLevel="0" collapsed="false">
      <c r="A327" s="18" t="s">
        <v>2472</v>
      </c>
      <c r="B327" s="18" t="s">
        <v>93</v>
      </c>
      <c r="C327" s="18" t="s">
        <v>98</v>
      </c>
      <c r="D327" s="18" t="s">
        <v>35</v>
      </c>
      <c r="E327" s="18" t="s">
        <v>17</v>
      </c>
      <c r="F327" s="19" t="s">
        <v>2473</v>
      </c>
      <c r="G327" s="19"/>
      <c r="H327" s="19" t="s">
        <v>2474</v>
      </c>
      <c r="I327" s="19" t="s">
        <v>2475</v>
      </c>
      <c r="J327" s="19" t="s">
        <v>2476</v>
      </c>
      <c r="K327" s="19" t="s">
        <v>2477</v>
      </c>
      <c r="L327" s="19" t="s">
        <v>2478</v>
      </c>
      <c r="M327" s="19"/>
      <c r="N327" s="19"/>
      <c r="O327" s="19" t="s">
        <v>142</v>
      </c>
      <c r="P327" s="19" t="s">
        <v>143</v>
      </c>
      <c r="Q327" s="19"/>
      <c r="R327" s="19"/>
      <c r="S327" s="19"/>
      <c r="T327" s="19"/>
    </row>
    <row r="328" customFormat="false" ht="95.5" hidden="false" customHeight="false" outlineLevel="0" collapsed="false">
      <c r="A328" s="18" t="s">
        <v>2479</v>
      </c>
      <c r="B328" s="18" t="s">
        <v>93</v>
      </c>
      <c r="C328" s="18" t="s">
        <v>98</v>
      </c>
      <c r="D328" s="18" t="s">
        <v>35</v>
      </c>
      <c r="E328" s="18" t="s">
        <v>17</v>
      </c>
      <c r="F328" s="19" t="s">
        <v>2480</v>
      </c>
      <c r="G328" s="20" t="s">
        <v>2481</v>
      </c>
      <c r="H328" s="19" t="s">
        <v>2482</v>
      </c>
      <c r="I328" s="19" t="s">
        <v>2483</v>
      </c>
      <c r="J328" s="19" t="s">
        <v>2484</v>
      </c>
      <c r="K328" s="19" t="s">
        <v>2485</v>
      </c>
      <c r="L328" s="19" t="s">
        <v>2443</v>
      </c>
      <c r="M328" s="19"/>
      <c r="N328" s="19"/>
      <c r="O328" s="19" t="s">
        <v>142</v>
      </c>
      <c r="P328" s="19" t="s">
        <v>143</v>
      </c>
      <c r="Q328" s="19"/>
      <c r="R328" s="19"/>
      <c r="S328" s="19"/>
      <c r="T328" s="19"/>
    </row>
    <row r="329" customFormat="false" ht="23.85" hidden="false" customHeight="false" outlineLevel="0" collapsed="false">
      <c r="A329" s="18" t="s">
        <v>2486</v>
      </c>
      <c r="B329" s="18" t="s">
        <v>93</v>
      </c>
      <c r="C329" s="18" t="s">
        <v>100</v>
      </c>
      <c r="D329" s="18" t="s">
        <v>33</v>
      </c>
      <c r="E329" s="18" t="s">
        <v>17</v>
      </c>
      <c r="F329" s="19" t="s">
        <v>2487</v>
      </c>
      <c r="G329" s="19"/>
      <c r="H329" s="19" t="s">
        <v>2488</v>
      </c>
      <c r="I329" s="19" t="s">
        <v>2489</v>
      </c>
      <c r="J329" s="19" t="s">
        <v>2490</v>
      </c>
      <c r="K329" s="19" t="s">
        <v>2491</v>
      </c>
      <c r="L329" s="19" t="s">
        <v>2492</v>
      </c>
      <c r="M329" s="19"/>
      <c r="N329" s="19"/>
      <c r="O329" s="19" t="s">
        <v>142</v>
      </c>
      <c r="P329" s="19" t="s">
        <v>143</v>
      </c>
      <c r="Q329" s="19"/>
      <c r="R329" s="19"/>
      <c r="S329" s="19"/>
      <c r="T329" s="19"/>
    </row>
    <row r="330" customFormat="false" ht="23.85" hidden="false" customHeight="false" outlineLevel="0" collapsed="false">
      <c r="A330" s="18" t="s">
        <v>2493</v>
      </c>
      <c r="B330" s="18" t="s">
        <v>93</v>
      </c>
      <c r="C330" s="18" t="s">
        <v>100</v>
      </c>
      <c r="D330" s="18" t="s">
        <v>33</v>
      </c>
      <c r="E330" s="18" t="s">
        <v>17</v>
      </c>
      <c r="F330" s="19" t="s">
        <v>2494</v>
      </c>
      <c r="G330" s="19"/>
      <c r="H330" s="19" t="s">
        <v>2495</v>
      </c>
      <c r="I330" s="19" t="s">
        <v>2496</v>
      </c>
      <c r="J330" s="19" t="s">
        <v>2497</v>
      </c>
      <c r="K330" s="19" t="s">
        <v>2498</v>
      </c>
      <c r="L330" s="19" t="s">
        <v>2499</v>
      </c>
      <c r="M330" s="19"/>
      <c r="N330" s="19"/>
      <c r="O330" s="19" t="s">
        <v>142</v>
      </c>
      <c r="P330" s="19" t="s">
        <v>143</v>
      </c>
      <c r="Q330" s="19"/>
      <c r="R330" s="19"/>
      <c r="S330" s="19"/>
      <c r="T330" s="19"/>
    </row>
    <row r="331" customFormat="false" ht="23.85" hidden="false" customHeight="false" outlineLevel="0" collapsed="false">
      <c r="A331" s="18" t="s">
        <v>2500</v>
      </c>
      <c r="B331" s="18" t="s">
        <v>93</v>
      </c>
      <c r="C331" s="18" t="s">
        <v>100</v>
      </c>
      <c r="D331" s="18" t="s">
        <v>33</v>
      </c>
      <c r="E331" s="18" t="s">
        <v>19</v>
      </c>
      <c r="F331" s="19" t="s">
        <v>2501</v>
      </c>
      <c r="G331" s="19"/>
      <c r="H331" s="19" t="s">
        <v>2502</v>
      </c>
      <c r="I331" s="19" t="s">
        <v>2503</v>
      </c>
      <c r="J331" s="19" t="s">
        <v>2504</v>
      </c>
      <c r="K331" s="19" t="s">
        <v>2505</v>
      </c>
      <c r="L331" s="19" t="s">
        <v>2506</v>
      </c>
      <c r="M331" s="19"/>
      <c r="N331" s="19"/>
      <c r="O331" s="19" t="s">
        <v>142</v>
      </c>
      <c r="P331" s="19" t="s">
        <v>143</v>
      </c>
      <c r="Q331" s="19"/>
      <c r="R331" s="19"/>
      <c r="S331" s="19"/>
      <c r="T331" s="19"/>
    </row>
    <row r="332" customFormat="false" ht="43.25" hidden="false" customHeight="false" outlineLevel="0" collapsed="false">
      <c r="A332" s="18" t="s">
        <v>2507</v>
      </c>
      <c r="B332" s="18" t="s">
        <v>93</v>
      </c>
      <c r="C332" s="18" t="s">
        <v>100</v>
      </c>
      <c r="D332" s="18" t="s">
        <v>33</v>
      </c>
      <c r="E332" s="18" t="s">
        <v>17</v>
      </c>
      <c r="F332" s="19" t="s">
        <v>2508</v>
      </c>
      <c r="G332" s="20" t="s">
        <v>2509</v>
      </c>
      <c r="H332" s="19" t="s">
        <v>2510</v>
      </c>
      <c r="I332" s="19" t="s">
        <v>2511</v>
      </c>
      <c r="J332" s="19" t="s">
        <v>2512</v>
      </c>
      <c r="K332" s="19" t="s">
        <v>2513</v>
      </c>
      <c r="L332" s="19" t="s">
        <v>2514</v>
      </c>
      <c r="M332" s="19"/>
      <c r="N332" s="19"/>
      <c r="O332" s="19" t="s">
        <v>142</v>
      </c>
      <c r="P332" s="19" t="s">
        <v>143</v>
      </c>
      <c r="Q332" s="19"/>
      <c r="R332" s="19"/>
      <c r="S332" s="19"/>
      <c r="T332" s="19"/>
    </row>
    <row r="333" customFormat="false" ht="35.05" hidden="false" customHeight="false" outlineLevel="0" collapsed="false">
      <c r="A333" s="18" t="s">
        <v>2515</v>
      </c>
      <c r="B333" s="18" t="s">
        <v>93</v>
      </c>
      <c r="C333" s="18" t="s">
        <v>100</v>
      </c>
      <c r="D333" s="18" t="s">
        <v>34</v>
      </c>
      <c r="E333" s="18" t="s">
        <v>17</v>
      </c>
      <c r="F333" s="19" t="s">
        <v>2516</v>
      </c>
      <c r="G333" s="19"/>
      <c r="H333" s="19" t="s">
        <v>2517</v>
      </c>
      <c r="I333" s="19" t="s">
        <v>2518</v>
      </c>
      <c r="J333" s="19" t="s">
        <v>2519</v>
      </c>
      <c r="K333" s="19" t="s">
        <v>2520</v>
      </c>
      <c r="L333" s="19" t="s">
        <v>2521</v>
      </c>
      <c r="M333" s="19"/>
      <c r="N333" s="19"/>
      <c r="O333" s="19" t="s">
        <v>142</v>
      </c>
      <c r="P333" s="19" t="s">
        <v>143</v>
      </c>
      <c r="Q333" s="19"/>
      <c r="R333" s="19"/>
      <c r="S333" s="19"/>
      <c r="T333" s="19"/>
    </row>
    <row r="334" customFormat="false" ht="35.05" hidden="false" customHeight="false" outlineLevel="0" collapsed="false">
      <c r="A334" s="18" t="s">
        <v>2522</v>
      </c>
      <c r="B334" s="18" t="s">
        <v>93</v>
      </c>
      <c r="C334" s="18" t="s">
        <v>100</v>
      </c>
      <c r="D334" s="18" t="s">
        <v>34</v>
      </c>
      <c r="E334" s="18" t="s">
        <v>17</v>
      </c>
      <c r="F334" s="19" t="s">
        <v>2523</v>
      </c>
      <c r="G334" s="19"/>
      <c r="H334" s="19" t="s">
        <v>2524</v>
      </c>
      <c r="I334" s="19" t="s">
        <v>2448</v>
      </c>
      <c r="J334" s="19" t="s">
        <v>1970</v>
      </c>
      <c r="K334" s="19" t="s">
        <v>2525</v>
      </c>
      <c r="L334" s="19" t="s">
        <v>2526</v>
      </c>
      <c r="M334" s="19"/>
      <c r="N334" s="19"/>
      <c r="O334" s="19" t="s">
        <v>142</v>
      </c>
      <c r="P334" s="19" t="s">
        <v>143</v>
      </c>
      <c r="Q334" s="19"/>
      <c r="R334" s="19"/>
      <c r="S334" s="19"/>
      <c r="T334" s="19"/>
    </row>
    <row r="335" customFormat="false" ht="23.85" hidden="false" customHeight="false" outlineLevel="0" collapsed="false">
      <c r="A335" s="18" t="s">
        <v>2527</v>
      </c>
      <c r="B335" s="18" t="s">
        <v>93</v>
      </c>
      <c r="C335" s="18" t="s">
        <v>100</v>
      </c>
      <c r="D335" s="18" t="s">
        <v>34</v>
      </c>
      <c r="E335" s="18" t="s">
        <v>17</v>
      </c>
      <c r="F335" s="19" t="s">
        <v>2528</v>
      </c>
      <c r="G335" s="19"/>
      <c r="H335" s="19" t="s">
        <v>2529</v>
      </c>
      <c r="I335" s="19" t="s">
        <v>2530</v>
      </c>
      <c r="J335" s="19" t="s">
        <v>2531</v>
      </c>
      <c r="K335" s="19" t="s">
        <v>2532</v>
      </c>
      <c r="L335" s="19" t="s">
        <v>2533</v>
      </c>
      <c r="M335" s="19"/>
      <c r="N335" s="19"/>
      <c r="O335" s="19" t="s">
        <v>142</v>
      </c>
      <c r="P335" s="19" t="s">
        <v>143</v>
      </c>
      <c r="Q335" s="19"/>
      <c r="R335" s="19"/>
      <c r="S335" s="19"/>
      <c r="T335" s="19"/>
    </row>
    <row r="336" customFormat="false" ht="43.25" hidden="false" customHeight="false" outlineLevel="0" collapsed="false">
      <c r="A336" s="18" t="s">
        <v>2534</v>
      </c>
      <c r="B336" s="18" t="s">
        <v>93</v>
      </c>
      <c r="C336" s="18" t="s">
        <v>100</v>
      </c>
      <c r="D336" s="18" t="s">
        <v>34</v>
      </c>
      <c r="E336" s="18" t="s">
        <v>17</v>
      </c>
      <c r="F336" s="19" t="s">
        <v>2535</v>
      </c>
      <c r="G336" s="20" t="s">
        <v>2536</v>
      </c>
      <c r="H336" s="19" t="s">
        <v>2537</v>
      </c>
      <c r="I336" s="19" t="s">
        <v>936</v>
      </c>
      <c r="J336" s="19" t="s">
        <v>935</v>
      </c>
      <c r="K336" s="19" t="s">
        <v>2538</v>
      </c>
      <c r="L336" s="19" t="s">
        <v>2539</v>
      </c>
      <c r="M336" s="19"/>
      <c r="N336" s="19"/>
      <c r="O336" s="19" t="s">
        <v>142</v>
      </c>
      <c r="P336" s="19" t="s">
        <v>143</v>
      </c>
      <c r="Q336" s="19"/>
      <c r="R336" s="19"/>
      <c r="S336" s="19"/>
      <c r="T336" s="19"/>
    </row>
    <row r="337" customFormat="false" ht="35.05" hidden="false" customHeight="false" outlineLevel="0" collapsed="false">
      <c r="A337" s="18" t="s">
        <v>2540</v>
      </c>
      <c r="B337" s="18" t="s">
        <v>93</v>
      </c>
      <c r="C337" s="18" t="s">
        <v>100</v>
      </c>
      <c r="D337" s="18" t="s">
        <v>35</v>
      </c>
      <c r="E337" s="18" t="s">
        <v>17</v>
      </c>
      <c r="F337" s="19" t="s">
        <v>2541</v>
      </c>
      <c r="G337" s="19"/>
      <c r="H337" s="19" t="s">
        <v>2542</v>
      </c>
      <c r="I337" s="19" t="s">
        <v>2543</v>
      </c>
      <c r="J337" s="19" t="s">
        <v>2544</v>
      </c>
      <c r="K337" s="19" t="s">
        <v>2545</v>
      </c>
      <c r="L337" s="19" t="s">
        <v>2546</v>
      </c>
      <c r="M337" s="19"/>
      <c r="N337" s="19"/>
      <c r="O337" s="19" t="s">
        <v>142</v>
      </c>
      <c r="P337" s="19" t="s">
        <v>143</v>
      </c>
      <c r="Q337" s="19"/>
      <c r="R337" s="19"/>
      <c r="S337" s="19"/>
      <c r="T337" s="19"/>
    </row>
    <row r="338" customFormat="false" ht="23.85" hidden="false" customHeight="false" outlineLevel="0" collapsed="false">
      <c r="A338" s="18" t="s">
        <v>2547</v>
      </c>
      <c r="B338" s="18" t="s">
        <v>93</v>
      </c>
      <c r="C338" s="18" t="s">
        <v>100</v>
      </c>
      <c r="D338" s="18" t="s">
        <v>35</v>
      </c>
      <c r="E338" s="18" t="s">
        <v>17</v>
      </c>
      <c r="F338" s="19" t="s">
        <v>2548</v>
      </c>
      <c r="G338" s="19"/>
      <c r="H338" s="19" t="s">
        <v>2549</v>
      </c>
      <c r="I338" s="19" t="s">
        <v>2550</v>
      </c>
      <c r="J338" s="19" t="s">
        <v>2551</v>
      </c>
      <c r="K338" s="19" t="s">
        <v>2552</v>
      </c>
      <c r="L338" s="19" t="s">
        <v>2553</v>
      </c>
      <c r="M338" s="19"/>
      <c r="N338" s="19"/>
      <c r="O338" s="19" t="s">
        <v>142</v>
      </c>
      <c r="P338" s="19" t="s">
        <v>143</v>
      </c>
      <c r="Q338" s="19"/>
      <c r="R338" s="19"/>
      <c r="S338" s="19"/>
      <c r="T338" s="19"/>
    </row>
    <row r="339" customFormat="false" ht="35.05" hidden="false" customHeight="false" outlineLevel="0" collapsed="false">
      <c r="A339" s="18" t="s">
        <v>2554</v>
      </c>
      <c r="B339" s="18" t="s">
        <v>93</v>
      </c>
      <c r="C339" s="18" t="s">
        <v>100</v>
      </c>
      <c r="D339" s="18" t="s">
        <v>35</v>
      </c>
      <c r="E339" s="18" t="s">
        <v>17</v>
      </c>
      <c r="F339" s="19" t="s">
        <v>2555</v>
      </c>
      <c r="G339" s="19"/>
      <c r="H339" s="19" t="s">
        <v>2556</v>
      </c>
      <c r="I339" s="19" t="s">
        <v>2557</v>
      </c>
      <c r="J339" s="19" t="s">
        <v>1324</v>
      </c>
      <c r="K339" s="19" t="s">
        <v>2558</v>
      </c>
      <c r="L339" s="19" t="s">
        <v>2559</v>
      </c>
      <c r="M339" s="19"/>
      <c r="N339" s="19"/>
      <c r="O339" s="19" t="s">
        <v>142</v>
      </c>
      <c r="P339" s="19" t="s">
        <v>143</v>
      </c>
      <c r="Q339" s="19"/>
      <c r="R339" s="19"/>
      <c r="S339" s="19"/>
      <c r="T339" s="19"/>
    </row>
    <row r="340" customFormat="false" ht="32.8" hidden="false" customHeight="false" outlineLevel="0" collapsed="false">
      <c r="A340" s="18" t="s">
        <v>2560</v>
      </c>
      <c r="B340" s="18" t="s">
        <v>93</v>
      </c>
      <c r="C340" s="18" t="s">
        <v>100</v>
      </c>
      <c r="D340" s="18" t="s">
        <v>35</v>
      </c>
      <c r="E340" s="18" t="s">
        <v>17</v>
      </c>
      <c r="F340" s="19" t="s">
        <v>2561</v>
      </c>
      <c r="G340" s="20" t="s">
        <v>2562</v>
      </c>
      <c r="H340" s="19" t="s">
        <v>2563</v>
      </c>
      <c r="I340" s="19" t="s">
        <v>2564</v>
      </c>
      <c r="J340" s="19" t="s">
        <v>2565</v>
      </c>
      <c r="K340" s="19" t="s">
        <v>2566</v>
      </c>
      <c r="L340" s="19" t="s">
        <v>2567</v>
      </c>
      <c r="M340" s="19"/>
      <c r="N340" s="19"/>
      <c r="O340" s="19" t="s">
        <v>142</v>
      </c>
      <c r="P340" s="19" t="s">
        <v>143</v>
      </c>
      <c r="Q340" s="19"/>
      <c r="R340" s="19"/>
      <c r="S340" s="19"/>
      <c r="T340" s="19"/>
    </row>
    <row r="341" customFormat="false" ht="23.85" hidden="false" customHeight="false" outlineLevel="0" collapsed="false">
      <c r="A341" s="18" t="s">
        <v>2568</v>
      </c>
      <c r="B341" s="18" t="s">
        <v>93</v>
      </c>
      <c r="C341" s="18" t="s">
        <v>102</v>
      </c>
      <c r="D341" s="18" t="s">
        <v>33</v>
      </c>
      <c r="E341" s="18" t="s">
        <v>17</v>
      </c>
      <c r="F341" s="19" t="s">
        <v>2569</v>
      </c>
      <c r="G341" s="19"/>
      <c r="H341" s="19" t="s">
        <v>2570</v>
      </c>
      <c r="I341" s="19" t="s">
        <v>2571</v>
      </c>
      <c r="J341" s="19" t="s">
        <v>2572</v>
      </c>
      <c r="K341" s="19" t="s">
        <v>2573</v>
      </c>
      <c r="L341" s="19" t="s">
        <v>2574</v>
      </c>
      <c r="M341" s="19"/>
      <c r="N341" s="19"/>
      <c r="O341" s="19" t="s">
        <v>142</v>
      </c>
      <c r="P341" s="19" t="s">
        <v>143</v>
      </c>
      <c r="Q341" s="19"/>
      <c r="R341" s="19"/>
      <c r="S341" s="19"/>
      <c r="T341" s="19"/>
    </row>
    <row r="342" customFormat="false" ht="35.05" hidden="false" customHeight="false" outlineLevel="0" collapsed="false">
      <c r="A342" s="18" t="s">
        <v>2575</v>
      </c>
      <c r="B342" s="18" t="s">
        <v>93</v>
      </c>
      <c r="C342" s="18" t="s">
        <v>102</v>
      </c>
      <c r="D342" s="18" t="s">
        <v>33</v>
      </c>
      <c r="E342" s="18" t="s">
        <v>17</v>
      </c>
      <c r="F342" s="19" t="s">
        <v>2576</v>
      </c>
      <c r="G342" s="19"/>
      <c r="H342" s="19" t="s">
        <v>2577</v>
      </c>
      <c r="I342" s="19" t="s">
        <v>2578</v>
      </c>
      <c r="J342" s="19" t="s">
        <v>2579</v>
      </c>
      <c r="K342" s="19" t="s">
        <v>1640</v>
      </c>
      <c r="L342" s="19" t="s">
        <v>2580</v>
      </c>
      <c r="M342" s="19"/>
      <c r="N342" s="19"/>
      <c r="O342" s="19" t="s">
        <v>142</v>
      </c>
      <c r="P342" s="19" t="s">
        <v>143</v>
      </c>
      <c r="Q342" s="19"/>
      <c r="R342" s="19"/>
      <c r="S342" s="19"/>
      <c r="T342" s="19"/>
    </row>
    <row r="343" customFormat="false" ht="35.05" hidden="false" customHeight="false" outlineLevel="0" collapsed="false">
      <c r="A343" s="18" t="s">
        <v>2581</v>
      </c>
      <c r="B343" s="18" t="s">
        <v>93</v>
      </c>
      <c r="C343" s="18" t="s">
        <v>102</v>
      </c>
      <c r="D343" s="18" t="s">
        <v>33</v>
      </c>
      <c r="E343" s="18" t="s">
        <v>19</v>
      </c>
      <c r="F343" s="19" t="s">
        <v>2582</v>
      </c>
      <c r="G343" s="19"/>
      <c r="H343" s="19" t="s">
        <v>2583</v>
      </c>
      <c r="I343" s="19" t="s">
        <v>2584</v>
      </c>
      <c r="J343" s="19" t="s">
        <v>2585</v>
      </c>
      <c r="K343" s="19" t="s">
        <v>2586</v>
      </c>
      <c r="L343" s="19" t="s">
        <v>2587</v>
      </c>
      <c r="M343" s="19"/>
      <c r="N343" s="19"/>
      <c r="O343" s="19" t="s">
        <v>142</v>
      </c>
      <c r="P343" s="19" t="s">
        <v>143</v>
      </c>
      <c r="Q343" s="19"/>
      <c r="R343" s="19"/>
      <c r="S343" s="19"/>
      <c r="T343" s="19"/>
    </row>
    <row r="344" customFormat="false" ht="43.25" hidden="false" customHeight="false" outlineLevel="0" collapsed="false">
      <c r="A344" s="18" t="s">
        <v>2588</v>
      </c>
      <c r="B344" s="18" t="s">
        <v>93</v>
      </c>
      <c r="C344" s="18" t="s">
        <v>102</v>
      </c>
      <c r="D344" s="18" t="s">
        <v>33</v>
      </c>
      <c r="E344" s="18" t="s">
        <v>17</v>
      </c>
      <c r="F344" s="19" t="s">
        <v>2589</v>
      </c>
      <c r="G344" s="20" t="s">
        <v>2590</v>
      </c>
      <c r="H344" s="19" t="s">
        <v>2591</v>
      </c>
      <c r="I344" s="19" t="s">
        <v>2592</v>
      </c>
      <c r="J344" s="19" t="s">
        <v>2593</v>
      </c>
      <c r="K344" s="19" t="s">
        <v>2594</v>
      </c>
      <c r="L344" s="19" t="s">
        <v>2595</v>
      </c>
      <c r="M344" s="19"/>
      <c r="N344" s="19"/>
      <c r="O344" s="19" t="s">
        <v>142</v>
      </c>
      <c r="P344" s="19" t="s">
        <v>143</v>
      </c>
      <c r="Q344" s="19"/>
      <c r="R344" s="19"/>
      <c r="S344" s="19"/>
      <c r="T344" s="19"/>
    </row>
    <row r="345" customFormat="false" ht="23.85" hidden="false" customHeight="false" outlineLevel="0" collapsed="false">
      <c r="A345" s="18" t="s">
        <v>2596</v>
      </c>
      <c r="B345" s="18" t="s">
        <v>93</v>
      </c>
      <c r="C345" s="18" t="s">
        <v>102</v>
      </c>
      <c r="D345" s="18" t="s">
        <v>34</v>
      </c>
      <c r="E345" s="18" t="s">
        <v>17</v>
      </c>
      <c r="F345" s="19" t="s">
        <v>2597</v>
      </c>
      <c r="G345" s="19"/>
      <c r="H345" s="19" t="s">
        <v>2598</v>
      </c>
      <c r="I345" s="19" t="s">
        <v>2599</v>
      </c>
      <c r="J345" s="19" t="s">
        <v>1853</v>
      </c>
      <c r="K345" s="19" t="s">
        <v>2600</v>
      </c>
      <c r="L345" s="19" t="s">
        <v>2601</v>
      </c>
      <c r="M345" s="19"/>
      <c r="N345" s="19"/>
      <c r="O345" s="19" t="s">
        <v>142</v>
      </c>
      <c r="P345" s="19" t="s">
        <v>143</v>
      </c>
      <c r="Q345" s="19"/>
      <c r="R345" s="19"/>
      <c r="S345" s="19"/>
      <c r="T345" s="19"/>
    </row>
    <row r="346" customFormat="false" ht="35.05" hidden="false" customHeight="false" outlineLevel="0" collapsed="false">
      <c r="A346" s="18" t="s">
        <v>2602</v>
      </c>
      <c r="B346" s="18" t="s">
        <v>93</v>
      </c>
      <c r="C346" s="18" t="s">
        <v>102</v>
      </c>
      <c r="D346" s="18" t="s">
        <v>34</v>
      </c>
      <c r="E346" s="18" t="s">
        <v>17</v>
      </c>
      <c r="F346" s="19" t="s">
        <v>2603</v>
      </c>
      <c r="G346" s="19"/>
      <c r="H346" s="19" t="s">
        <v>2604</v>
      </c>
      <c r="I346" s="19" t="s">
        <v>2605</v>
      </c>
      <c r="J346" s="19" t="s">
        <v>2606</v>
      </c>
      <c r="K346" s="19" t="s">
        <v>2607</v>
      </c>
      <c r="L346" s="19" t="s">
        <v>2608</v>
      </c>
      <c r="M346" s="19"/>
      <c r="N346" s="19"/>
      <c r="O346" s="19" t="s">
        <v>142</v>
      </c>
      <c r="P346" s="19" t="s">
        <v>143</v>
      </c>
      <c r="Q346" s="19"/>
      <c r="R346" s="19"/>
      <c r="S346" s="19"/>
      <c r="T346" s="19"/>
    </row>
    <row r="347" customFormat="false" ht="35.05" hidden="false" customHeight="false" outlineLevel="0" collapsed="false">
      <c r="A347" s="18" t="s">
        <v>2609</v>
      </c>
      <c r="B347" s="18" t="s">
        <v>93</v>
      </c>
      <c r="C347" s="18" t="s">
        <v>102</v>
      </c>
      <c r="D347" s="18" t="s">
        <v>34</v>
      </c>
      <c r="E347" s="18" t="s">
        <v>17</v>
      </c>
      <c r="F347" s="19" t="s">
        <v>2610</v>
      </c>
      <c r="G347" s="19"/>
      <c r="H347" s="19" t="s">
        <v>2611</v>
      </c>
      <c r="I347" s="19" t="s">
        <v>2612</v>
      </c>
      <c r="J347" s="19" t="s">
        <v>2613</v>
      </c>
      <c r="K347" s="19" t="s">
        <v>2614</v>
      </c>
      <c r="L347" s="19" t="s">
        <v>2615</v>
      </c>
      <c r="M347" s="19"/>
      <c r="N347" s="19"/>
      <c r="O347" s="19" t="s">
        <v>142</v>
      </c>
      <c r="P347" s="19" t="s">
        <v>143</v>
      </c>
      <c r="Q347" s="19"/>
      <c r="R347" s="19"/>
      <c r="S347" s="19"/>
      <c r="T347" s="19"/>
    </row>
    <row r="348" customFormat="false" ht="53.7" hidden="false" customHeight="false" outlineLevel="0" collapsed="false">
      <c r="A348" s="18" t="s">
        <v>2616</v>
      </c>
      <c r="B348" s="18" t="s">
        <v>93</v>
      </c>
      <c r="C348" s="18" t="s">
        <v>102</v>
      </c>
      <c r="D348" s="18" t="s">
        <v>34</v>
      </c>
      <c r="E348" s="18" t="s">
        <v>17</v>
      </c>
      <c r="F348" s="19" t="s">
        <v>2617</v>
      </c>
      <c r="G348" s="20" t="s">
        <v>2618</v>
      </c>
      <c r="H348" s="19" t="s">
        <v>2619</v>
      </c>
      <c r="I348" s="19" t="s">
        <v>2620</v>
      </c>
      <c r="J348" s="19" t="s">
        <v>2621</v>
      </c>
      <c r="K348" s="19" t="s">
        <v>2622</v>
      </c>
      <c r="L348" s="19" t="s">
        <v>2623</v>
      </c>
      <c r="M348" s="19"/>
      <c r="N348" s="19"/>
      <c r="O348" s="19" t="s">
        <v>142</v>
      </c>
      <c r="P348" s="19" t="s">
        <v>143</v>
      </c>
      <c r="Q348" s="19"/>
      <c r="R348" s="19"/>
      <c r="S348" s="19"/>
      <c r="T348" s="19"/>
    </row>
    <row r="349" customFormat="false" ht="35.05" hidden="false" customHeight="false" outlineLevel="0" collapsed="false">
      <c r="A349" s="18" t="s">
        <v>2624</v>
      </c>
      <c r="B349" s="18" t="s">
        <v>93</v>
      </c>
      <c r="C349" s="18" t="s">
        <v>102</v>
      </c>
      <c r="D349" s="18" t="s">
        <v>35</v>
      </c>
      <c r="E349" s="18" t="s">
        <v>17</v>
      </c>
      <c r="F349" s="19" t="s">
        <v>2625</v>
      </c>
      <c r="G349" s="19"/>
      <c r="H349" s="19" t="s">
        <v>2626</v>
      </c>
      <c r="I349" s="19" t="s">
        <v>2627</v>
      </c>
      <c r="J349" s="19" t="s">
        <v>2628</v>
      </c>
      <c r="K349" s="19" t="s">
        <v>1825</v>
      </c>
      <c r="L349" s="19" t="s">
        <v>2629</v>
      </c>
      <c r="M349" s="19"/>
      <c r="N349" s="19"/>
      <c r="O349" s="19" t="s">
        <v>142</v>
      </c>
      <c r="P349" s="19" t="s">
        <v>143</v>
      </c>
      <c r="Q349" s="19"/>
      <c r="R349" s="19"/>
      <c r="S349" s="19"/>
      <c r="T349" s="19"/>
    </row>
    <row r="350" customFormat="false" ht="23.85" hidden="false" customHeight="false" outlineLevel="0" collapsed="false">
      <c r="A350" s="18" t="s">
        <v>2630</v>
      </c>
      <c r="B350" s="18" t="s">
        <v>93</v>
      </c>
      <c r="C350" s="18" t="s">
        <v>102</v>
      </c>
      <c r="D350" s="18" t="s">
        <v>35</v>
      </c>
      <c r="E350" s="18" t="s">
        <v>17</v>
      </c>
      <c r="F350" s="19" t="s">
        <v>2631</v>
      </c>
      <c r="G350" s="19"/>
      <c r="H350" s="19" t="s">
        <v>2632</v>
      </c>
      <c r="I350" s="19" t="s">
        <v>2633</v>
      </c>
      <c r="J350" s="19" t="s">
        <v>2634</v>
      </c>
      <c r="K350" s="19" t="s">
        <v>2635</v>
      </c>
      <c r="L350" s="19" t="s">
        <v>2636</v>
      </c>
      <c r="M350" s="19"/>
      <c r="N350" s="19"/>
      <c r="O350" s="19" t="s">
        <v>142</v>
      </c>
      <c r="P350" s="19" t="s">
        <v>143</v>
      </c>
      <c r="Q350" s="19"/>
      <c r="R350" s="19"/>
      <c r="S350" s="19"/>
      <c r="T350" s="19"/>
    </row>
    <row r="351" customFormat="false" ht="35.05" hidden="false" customHeight="false" outlineLevel="0" collapsed="false">
      <c r="A351" s="18" t="s">
        <v>2637</v>
      </c>
      <c r="B351" s="18" t="s">
        <v>93</v>
      </c>
      <c r="C351" s="18" t="s">
        <v>102</v>
      </c>
      <c r="D351" s="18" t="s">
        <v>35</v>
      </c>
      <c r="E351" s="18" t="s">
        <v>17</v>
      </c>
      <c r="F351" s="19" t="s">
        <v>2638</v>
      </c>
      <c r="G351" s="19"/>
      <c r="H351" s="19" t="s">
        <v>2639</v>
      </c>
      <c r="I351" s="19" t="s">
        <v>2640</v>
      </c>
      <c r="J351" s="19" t="s">
        <v>2641</v>
      </c>
      <c r="K351" s="19" t="s">
        <v>2642</v>
      </c>
      <c r="L351" s="19" t="s">
        <v>2643</v>
      </c>
      <c r="M351" s="19"/>
      <c r="N351" s="19"/>
      <c r="O351" s="19" t="s">
        <v>142</v>
      </c>
      <c r="P351" s="19" t="s">
        <v>143</v>
      </c>
      <c r="Q351" s="19"/>
      <c r="R351" s="19"/>
      <c r="S351" s="19"/>
      <c r="T351" s="19"/>
    </row>
    <row r="352" customFormat="false" ht="53.7" hidden="false" customHeight="false" outlineLevel="0" collapsed="false">
      <c r="A352" s="18" t="s">
        <v>2644</v>
      </c>
      <c r="B352" s="18" t="s">
        <v>93</v>
      </c>
      <c r="C352" s="18" t="s">
        <v>102</v>
      </c>
      <c r="D352" s="18" t="s">
        <v>35</v>
      </c>
      <c r="E352" s="18" t="s">
        <v>17</v>
      </c>
      <c r="F352" s="19" t="s">
        <v>2645</v>
      </c>
      <c r="G352" s="20" t="s">
        <v>2646</v>
      </c>
      <c r="H352" s="19" t="s">
        <v>2647</v>
      </c>
      <c r="I352" s="19" t="s">
        <v>2648</v>
      </c>
      <c r="J352" s="19" t="s">
        <v>2649</v>
      </c>
      <c r="K352" s="19" t="s">
        <v>2650</v>
      </c>
      <c r="L352" s="19" t="s">
        <v>2651</v>
      </c>
      <c r="M352" s="19"/>
      <c r="N352" s="19"/>
      <c r="O352" s="19" t="s">
        <v>142</v>
      </c>
      <c r="P352" s="19" t="s">
        <v>143</v>
      </c>
      <c r="Q352" s="19"/>
      <c r="R352" s="19"/>
      <c r="S352" s="19"/>
      <c r="T352" s="19"/>
    </row>
    <row r="353" customFormat="false" ht="23.85" hidden="false" customHeight="false" outlineLevel="0" collapsed="false">
      <c r="A353" s="18" t="s">
        <v>2652</v>
      </c>
      <c r="B353" s="18" t="s">
        <v>93</v>
      </c>
      <c r="C353" s="18" t="s">
        <v>104</v>
      </c>
      <c r="D353" s="18" t="s">
        <v>33</v>
      </c>
      <c r="E353" s="18" t="s">
        <v>17</v>
      </c>
      <c r="F353" s="19" t="s">
        <v>2653</v>
      </c>
      <c r="G353" s="19"/>
      <c r="H353" s="19" t="s">
        <v>2654</v>
      </c>
      <c r="I353" s="19" t="s">
        <v>2655</v>
      </c>
      <c r="J353" s="19" t="s">
        <v>1670</v>
      </c>
      <c r="K353" s="19" t="s">
        <v>2656</v>
      </c>
      <c r="L353" s="19" t="s">
        <v>2657</v>
      </c>
      <c r="M353" s="19"/>
      <c r="N353" s="19"/>
      <c r="O353" s="19" t="s">
        <v>142</v>
      </c>
      <c r="P353" s="19" t="s">
        <v>143</v>
      </c>
      <c r="Q353" s="19"/>
      <c r="R353" s="19"/>
      <c r="S353" s="19"/>
      <c r="T353" s="19"/>
    </row>
    <row r="354" customFormat="false" ht="23.85" hidden="false" customHeight="false" outlineLevel="0" collapsed="false">
      <c r="A354" s="18" t="s">
        <v>2658</v>
      </c>
      <c r="B354" s="18" t="s">
        <v>93</v>
      </c>
      <c r="C354" s="18" t="s">
        <v>104</v>
      </c>
      <c r="D354" s="18" t="s">
        <v>33</v>
      </c>
      <c r="E354" s="18" t="s">
        <v>17</v>
      </c>
      <c r="F354" s="19" t="s">
        <v>2659</v>
      </c>
      <c r="G354" s="19"/>
      <c r="H354" s="19" t="s">
        <v>2660</v>
      </c>
      <c r="I354" s="19" t="s">
        <v>2661</v>
      </c>
      <c r="J354" s="19" t="s">
        <v>2662</v>
      </c>
      <c r="K354" s="19" t="s">
        <v>2663</v>
      </c>
      <c r="L354" s="19" t="s">
        <v>2664</v>
      </c>
      <c r="M354" s="19"/>
      <c r="N354" s="19"/>
      <c r="O354" s="19" t="s">
        <v>142</v>
      </c>
      <c r="P354" s="19" t="s">
        <v>143</v>
      </c>
      <c r="Q354" s="19"/>
      <c r="R354" s="19"/>
      <c r="S354" s="19"/>
      <c r="T354" s="19"/>
    </row>
    <row r="355" customFormat="false" ht="23.85" hidden="false" customHeight="false" outlineLevel="0" collapsed="false">
      <c r="A355" s="18" t="s">
        <v>2665</v>
      </c>
      <c r="B355" s="18" t="s">
        <v>93</v>
      </c>
      <c r="C355" s="18" t="s">
        <v>104</v>
      </c>
      <c r="D355" s="18" t="s">
        <v>33</v>
      </c>
      <c r="E355" s="18" t="s">
        <v>19</v>
      </c>
      <c r="F355" s="19" t="s">
        <v>2666</v>
      </c>
      <c r="G355" s="19"/>
      <c r="H355" s="19" t="s">
        <v>2667</v>
      </c>
      <c r="I355" s="19" t="s">
        <v>2668</v>
      </c>
      <c r="J355" s="19" t="s">
        <v>2669</v>
      </c>
      <c r="K355" s="19" t="s">
        <v>2339</v>
      </c>
      <c r="L355" s="19" t="s">
        <v>2670</v>
      </c>
      <c r="M355" s="19"/>
      <c r="N355" s="19"/>
      <c r="O355" s="19" t="s">
        <v>142</v>
      </c>
      <c r="P355" s="19" t="s">
        <v>143</v>
      </c>
      <c r="Q355" s="19"/>
      <c r="R355" s="19"/>
      <c r="S355" s="19"/>
      <c r="T355" s="19"/>
    </row>
    <row r="356" customFormat="false" ht="23.85" hidden="false" customHeight="false" outlineLevel="0" collapsed="false">
      <c r="A356" s="18" t="s">
        <v>2671</v>
      </c>
      <c r="B356" s="18" t="s">
        <v>93</v>
      </c>
      <c r="C356" s="18" t="s">
        <v>104</v>
      </c>
      <c r="D356" s="18" t="s">
        <v>33</v>
      </c>
      <c r="E356" s="18" t="s">
        <v>17</v>
      </c>
      <c r="F356" s="19" t="s">
        <v>2672</v>
      </c>
      <c r="G356" s="20" t="s">
        <v>2673</v>
      </c>
      <c r="H356" s="19" t="s">
        <v>2674</v>
      </c>
      <c r="I356" s="19" t="s">
        <v>2675</v>
      </c>
      <c r="J356" s="19" t="s">
        <v>2676</v>
      </c>
      <c r="K356" s="19" t="s">
        <v>631</v>
      </c>
      <c r="L356" s="19" t="s">
        <v>2677</v>
      </c>
      <c r="M356" s="19"/>
      <c r="N356" s="19"/>
      <c r="O356" s="19" t="s">
        <v>142</v>
      </c>
      <c r="P356" s="19" t="s">
        <v>143</v>
      </c>
      <c r="Q356" s="19"/>
      <c r="R356" s="19"/>
      <c r="S356" s="19"/>
      <c r="T356" s="19"/>
    </row>
    <row r="357" customFormat="false" ht="23.85" hidden="false" customHeight="false" outlineLevel="0" collapsed="false">
      <c r="A357" s="18" t="s">
        <v>2678</v>
      </c>
      <c r="B357" s="18" t="s">
        <v>93</v>
      </c>
      <c r="C357" s="18" t="s">
        <v>104</v>
      </c>
      <c r="D357" s="18" t="s">
        <v>34</v>
      </c>
      <c r="E357" s="18" t="s">
        <v>17</v>
      </c>
      <c r="F357" s="19" t="s">
        <v>2679</v>
      </c>
      <c r="G357" s="19"/>
      <c r="H357" s="19" t="s">
        <v>2680</v>
      </c>
      <c r="I357" s="19" t="s">
        <v>2681</v>
      </c>
      <c r="J357" s="19" t="s">
        <v>2682</v>
      </c>
      <c r="K357" s="19" t="s">
        <v>2683</v>
      </c>
      <c r="L357" s="19" t="s">
        <v>2684</v>
      </c>
      <c r="M357" s="19"/>
      <c r="N357" s="19"/>
      <c r="O357" s="19" t="s">
        <v>142</v>
      </c>
      <c r="P357" s="19" t="s">
        <v>143</v>
      </c>
      <c r="Q357" s="19"/>
      <c r="R357" s="19"/>
      <c r="S357" s="19"/>
      <c r="T357" s="19"/>
    </row>
    <row r="358" customFormat="false" ht="35.05" hidden="false" customHeight="false" outlineLevel="0" collapsed="false">
      <c r="A358" s="18" t="s">
        <v>2685</v>
      </c>
      <c r="B358" s="18" t="s">
        <v>93</v>
      </c>
      <c r="C358" s="18" t="s">
        <v>104</v>
      </c>
      <c r="D358" s="18" t="s">
        <v>34</v>
      </c>
      <c r="E358" s="18" t="s">
        <v>17</v>
      </c>
      <c r="F358" s="19" t="s">
        <v>2686</v>
      </c>
      <c r="G358" s="19"/>
      <c r="H358" s="19" t="s">
        <v>2687</v>
      </c>
      <c r="I358" s="19" t="s">
        <v>2688</v>
      </c>
      <c r="J358" s="19" t="s">
        <v>2689</v>
      </c>
      <c r="K358" s="19" t="s">
        <v>2690</v>
      </c>
      <c r="L358" s="19" t="s">
        <v>2691</v>
      </c>
      <c r="M358" s="19"/>
      <c r="N358" s="19"/>
      <c r="O358" s="19" t="s">
        <v>142</v>
      </c>
      <c r="P358" s="19" t="s">
        <v>143</v>
      </c>
      <c r="Q358" s="19"/>
      <c r="R358" s="19"/>
      <c r="S358" s="19"/>
      <c r="T358" s="19"/>
    </row>
    <row r="359" customFormat="false" ht="35.05" hidden="false" customHeight="false" outlineLevel="0" collapsed="false">
      <c r="A359" s="18" t="s">
        <v>2692</v>
      </c>
      <c r="B359" s="18" t="s">
        <v>93</v>
      </c>
      <c r="C359" s="18" t="s">
        <v>104</v>
      </c>
      <c r="D359" s="18" t="s">
        <v>34</v>
      </c>
      <c r="E359" s="18" t="s">
        <v>17</v>
      </c>
      <c r="F359" s="19" t="s">
        <v>2693</v>
      </c>
      <c r="G359" s="19"/>
      <c r="H359" s="19" t="s">
        <v>2694</v>
      </c>
      <c r="I359" s="19" t="s">
        <v>2695</v>
      </c>
      <c r="J359" s="19" t="s">
        <v>2696</v>
      </c>
      <c r="K359" s="19" t="s">
        <v>2697</v>
      </c>
      <c r="L359" s="19" t="s">
        <v>2698</v>
      </c>
      <c r="M359" s="19"/>
      <c r="N359" s="19"/>
      <c r="O359" s="19" t="s">
        <v>142</v>
      </c>
      <c r="P359" s="19" t="s">
        <v>143</v>
      </c>
      <c r="Q359" s="19"/>
      <c r="R359" s="19"/>
      <c r="S359" s="19"/>
      <c r="T359" s="19"/>
    </row>
    <row r="360" customFormat="false" ht="32.8" hidden="false" customHeight="false" outlineLevel="0" collapsed="false">
      <c r="A360" s="18" t="s">
        <v>2699</v>
      </c>
      <c r="B360" s="18" t="s">
        <v>93</v>
      </c>
      <c r="C360" s="18" t="s">
        <v>104</v>
      </c>
      <c r="D360" s="18" t="s">
        <v>34</v>
      </c>
      <c r="E360" s="18" t="s">
        <v>17</v>
      </c>
      <c r="F360" s="19" t="s">
        <v>2700</v>
      </c>
      <c r="G360" s="20" t="s">
        <v>2701</v>
      </c>
      <c r="H360" s="19" t="s">
        <v>2702</v>
      </c>
      <c r="I360" s="19" t="s">
        <v>2703</v>
      </c>
      <c r="J360" s="19" t="s">
        <v>2455</v>
      </c>
      <c r="K360" s="19" t="s">
        <v>2704</v>
      </c>
      <c r="L360" s="19" t="s">
        <v>2705</v>
      </c>
      <c r="M360" s="19"/>
      <c r="N360" s="19"/>
      <c r="O360" s="19" t="s">
        <v>142</v>
      </c>
      <c r="P360" s="19" t="s">
        <v>143</v>
      </c>
      <c r="Q360" s="19"/>
      <c r="R360" s="19"/>
      <c r="S360" s="19"/>
      <c r="T360" s="19"/>
    </row>
    <row r="361" customFormat="false" ht="35.05" hidden="false" customHeight="false" outlineLevel="0" collapsed="false">
      <c r="A361" s="18" t="s">
        <v>2706</v>
      </c>
      <c r="B361" s="18" t="s">
        <v>93</v>
      </c>
      <c r="C361" s="18" t="s">
        <v>104</v>
      </c>
      <c r="D361" s="18" t="s">
        <v>35</v>
      </c>
      <c r="E361" s="18" t="s">
        <v>17</v>
      </c>
      <c r="F361" s="19" t="s">
        <v>2707</v>
      </c>
      <c r="G361" s="19"/>
      <c r="H361" s="19" t="s">
        <v>2708</v>
      </c>
      <c r="I361" s="19" t="s">
        <v>2709</v>
      </c>
      <c r="J361" s="19" t="s">
        <v>1718</v>
      </c>
      <c r="K361" s="19" t="s">
        <v>2710</v>
      </c>
      <c r="L361" s="19" t="s">
        <v>2711</v>
      </c>
      <c r="M361" s="19"/>
      <c r="N361" s="19"/>
      <c r="O361" s="19" t="s">
        <v>142</v>
      </c>
      <c r="P361" s="19" t="s">
        <v>143</v>
      </c>
      <c r="Q361" s="19"/>
      <c r="R361" s="19"/>
      <c r="S361" s="19"/>
      <c r="T361" s="19"/>
    </row>
    <row r="362" customFormat="false" ht="23.85" hidden="false" customHeight="false" outlineLevel="0" collapsed="false">
      <c r="A362" s="18" t="s">
        <v>2712</v>
      </c>
      <c r="B362" s="18" t="s">
        <v>93</v>
      </c>
      <c r="C362" s="18" t="s">
        <v>104</v>
      </c>
      <c r="D362" s="18" t="s">
        <v>35</v>
      </c>
      <c r="E362" s="18" t="s">
        <v>17</v>
      </c>
      <c r="F362" s="19" t="s">
        <v>2713</v>
      </c>
      <c r="G362" s="19"/>
      <c r="H362" s="19" t="s">
        <v>2714</v>
      </c>
      <c r="I362" s="19" t="s">
        <v>2715</v>
      </c>
      <c r="J362" s="19" t="s">
        <v>2716</v>
      </c>
      <c r="K362" s="19" t="s">
        <v>2717</v>
      </c>
      <c r="L362" s="19" t="s">
        <v>2718</v>
      </c>
      <c r="M362" s="19"/>
      <c r="N362" s="19"/>
      <c r="O362" s="19" t="s">
        <v>142</v>
      </c>
      <c r="P362" s="19" t="s">
        <v>143</v>
      </c>
      <c r="Q362" s="19"/>
      <c r="R362" s="19"/>
      <c r="S362" s="19"/>
      <c r="T362" s="19"/>
    </row>
    <row r="363" customFormat="false" ht="35.05" hidden="false" customHeight="false" outlineLevel="0" collapsed="false">
      <c r="A363" s="18" t="s">
        <v>2719</v>
      </c>
      <c r="B363" s="18" t="s">
        <v>93</v>
      </c>
      <c r="C363" s="18" t="s">
        <v>104</v>
      </c>
      <c r="D363" s="18" t="s">
        <v>35</v>
      </c>
      <c r="E363" s="18" t="s">
        <v>17</v>
      </c>
      <c r="F363" s="19" t="s">
        <v>2720</v>
      </c>
      <c r="G363" s="19"/>
      <c r="H363" s="19" t="s">
        <v>2721</v>
      </c>
      <c r="I363" s="19" t="s">
        <v>2722</v>
      </c>
      <c r="J363" s="19" t="s">
        <v>2723</v>
      </c>
      <c r="K363" s="19" t="s">
        <v>2724</v>
      </c>
      <c r="L363" s="19" t="s">
        <v>2725</v>
      </c>
      <c r="M363" s="19"/>
      <c r="N363" s="19"/>
      <c r="O363" s="19" t="s">
        <v>142</v>
      </c>
      <c r="P363" s="19" t="s">
        <v>143</v>
      </c>
      <c r="Q363" s="19"/>
      <c r="R363" s="19"/>
      <c r="S363" s="19"/>
      <c r="T363" s="19"/>
    </row>
    <row r="364" customFormat="false" ht="35.05" hidden="false" customHeight="false" outlineLevel="0" collapsed="false">
      <c r="A364" s="18" t="s">
        <v>2726</v>
      </c>
      <c r="B364" s="18" t="s">
        <v>93</v>
      </c>
      <c r="C364" s="18" t="s">
        <v>104</v>
      </c>
      <c r="D364" s="18" t="s">
        <v>35</v>
      </c>
      <c r="E364" s="18" t="s">
        <v>17</v>
      </c>
      <c r="F364" s="19" t="s">
        <v>2727</v>
      </c>
      <c r="G364" s="20" t="s">
        <v>2728</v>
      </c>
      <c r="H364" s="19" t="s">
        <v>2729</v>
      </c>
      <c r="I364" s="19" t="s">
        <v>2730</v>
      </c>
      <c r="J364" s="19" t="s">
        <v>2731</v>
      </c>
      <c r="K364" s="19" t="s">
        <v>2732</v>
      </c>
      <c r="L364" s="19" t="s">
        <v>2733</v>
      </c>
      <c r="M364" s="19"/>
      <c r="N364" s="19"/>
      <c r="O364" s="19" t="s">
        <v>142</v>
      </c>
      <c r="P364" s="19" t="s">
        <v>143</v>
      </c>
      <c r="Q364" s="19"/>
      <c r="R364" s="19"/>
      <c r="S364" s="19"/>
      <c r="T364" s="19"/>
    </row>
    <row r="365" customFormat="false" ht="23.85" hidden="false" customHeight="false" outlineLevel="0" collapsed="false">
      <c r="A365" s="18" t="s">
        <v>2734</v>
      </c>
      <c r="B365" s="18" t="s">
        <v>106</v>
      </c>
      <c r="C365" s="18" t="s">
        <v>107</v>
      </c>
      <c r="D365" s="18" t="s">
        <v>33</v>
      </c>
      <c r="E365" s="18" t="s">
        <v>17</v>
      </c>
      <c r="F365" s="19" t="s">
        <v>2735</v>
      </c>
      <c r="G365" s="19"/>
      <c r="H365" s="19" t="s">
        <v>2736</v>
      </c>
      <c r="I365" s="19" t="s">
        <v>2737</v>
      </c>
      <c r="J365" s="19" t="s">
        <v>2738</v>
      </c>
      <c r="K365" s="19" t="s">
        <v>2739</v>
      </c>
      <c r="L365" s="19" t="s">
        <v>2740</v>
      </c>
      <c r="M365" s="19"/>
      <c r="N365" s="19"/>
      <c r="O365" s="19" t="s">
        <v>142</v>
      </c>
      <c r="P365" s="19" t="s">
        <v>143</v>
      </c>
      <c r="Q365" s="19"/>
      <c r="R365" s="19"/>
      <c r="S365" s="19"/>
      <c r="T365" s="19"/>
    </row>
    <row r="366" customFormat="false" ht="53.7" hidden="false" customHeight="false" outlineLevel="0" collapsed="false">
      <c r="A366" s="18" t="s">
        <v>2741</v>
      </c>
      <c r="B366" s="18" t="s">
        <v>106</v>
      </c>
      <c r="C366" s="18" t="s">
        <v>107</v>
      </c>
      <c r="D366" s="18" t="s">
        <v>33</v>
      </c>
      <c r="E366" s="18" t="s">
        <v>17</v>
      </c>
      <c r="F366" s="19" t="s">
        <v>2742</v>
      </c>
      <c r="G366" s="20" t="s">
        <v>2743</v>
      </c>
      <c r="H366" s="19" t="s">
        <v>2744</v>
      </c>
      <c r="I366" s="19" t="s">
        <v>2745</v>
      </c>
      <c r="J366" s="19" t="s">
        <v>2746</v>
      </c>
      <c r="K366" s="19" t="s">
        <v>2747</v>
      </c>
      <c r="L366" s="19" t="s">
        <v>2748</v>
      </c>
      <c r="M366" s="19"/>
      <c r="N366" s="19"/>
      <c r="O366" s="19" t="s">
        <v>142</v>
      </c>
      <c r="P366" s="19" t="s">
        <v>143</v>
      </c>
      <c r="Q366" s="19"/>
      <c r="R366" s="19"/>
      <c r="S366" s="19"/>
      <c r="T366" s="19"/>
    </row>
    <row r="367" customFormat="false" ht="23.85" hidden="false" customHeight="false" outlineLevel="0" collapsed="false">
      <c r="A367" s="18" t="s">
        <v>2749</v>
      </c>
      <c r="B367" s="18" t="s">
        <v>106</v>
      </c>
      <c r="C367" s="18" t="s">
        <v>107</v>
      </c>
      <c r="D367" s="18" t="s">
        <v>33</v>
      </c>
      <c r="E367" s="18" t="s">
        <v>19</v>
      </c>
      <c r="F367" s="19" t="s">
        <v>2750</v>
      </c>
      <c r="G367" s="19"/>
      <c r="H367" s="19" t="s">
        <v>2751</v>
      </c>
      <c r="I367" s="19" t="s">
        <v>2752</v>
      </c>
      <c r="J367" s="19" t="s">
        <v>2753</v>
      </c>
      <c r="K367" s="19" t="s">
        <v>2754</v>
      </c>
      <c r="L367" s="19" t="s">
        <v>2755</v>
      </c>
      <c r="M367" s="19"/>
      <c r="N367" s="19"/>
      <c r="O367" s="19" t="s">
        <v>142</v>
      </c>
      <c r="P367" s="19" t="s">
        <v>143</v>
      </c>
      <c r="Q367" s="19"/>
      <c r="R367" s="19"/>
      <c r="S367" s="19"/>
      <c r="T367" s="19"/>
    </row>
    <row r="368" customFormat="false" ht="23.85" hidden="false" customHeight="false" outlineLevel="0" collapsed="false">
      <c r="A368" s="18" t="s">
        <v>2756</v>
      </c>
      <c r="B368" s="18" t="s">
        <v>106</v>
      </c>
      <c r="C368" s="18" t="s">
        <v>107</v>
      </c>
      <c r="D368" s="18" t="s">
        <v>33</v>
      </c>
      <c r="E368" s="18" t="s">
        <v>17</v>
      </c>
      <c r="F368" s="19" t="s">
        <v>2757</v>
      </c>
      <c r="G368" s="19"/>
      <c r="H368" s="19" t="s">
        <v>2758</v>
      </c>
      <c r="I368" s="19" t="s">
        <v>2759</v>
      </c>
      <c r="J368" s="19" t="s">
        <v>2760</v>
      </c>
      <c r="K368" s="19" t="s">
        <v>672</v>
      </c>
      <c r="L368" s="19" t="s">
        <v>2761</v>
      </c>
      <c r="M368" s="19"/>
      <c r="N368" s="19"/>
      <c r="O368" s="19" t="s">
        <v>142</v>
      </c>
      <c r="P368" s="19" t="s">
        <v>143</v>
      </c>
      <c r="Q368" s="19"/>
      <c r="R368" s="19"/>
      <c r="S368" s="19"/>
      <c r="T368" s="19"/>
    </row>
    <row r="369" customFormat="false" ht="64.15" hidden="false" customHeight="false" outlineLevel="0" collapsed="false">
      <c r="A369" s="18" t="s">
        <v>2762</v>
      </c>
      <c r="B369" s="18" t="s">
        <v>106</v>
      </c>
      <c r="C369" s="18" t="s">
        <v>107</v>
      </c>
      <c r="D369" s="18" t="s">
        <v>34</v>
      </c>
      <c r="E369" s="18" t="s">
        <v>17</v>
      </c>
      <c r="F369" s="19" t="s">
        <v>2763</v>
      </c>
      <c r="G369" s="20" t="s">
        <v>2764</v>
      </c>
      <c r="H369" s="19" t="s">
        <v>2765</v>
      </c>
      <c r="I369" s="19" t="s">
        <v>2766</v>
      </c>
      <c r="J369" s="19" t="s">
        <v>2767</v>
      </c>
      <c r="K369" s="19" t="s">
        <v>2768</v>
      </c>
      <c r="L369" s="19" t="s">
        <v>2769</v>
      </c>
      <c r="M369" s="19"/>
      <c r="N369" s="19"/>
      <c r="O369" s="19" t="s">
        <v>142</v>
      </c>
      <c r="P369" s="19" t="s">
        <v>143</v>
      </c>
      <c r="Q369" s="19"/>
      <c r="R369" s="19"/>
      <c r="S369" s="19"/>
      <c r="T369" s="19"/>
    </row>
    <row r="370" customFormat="false" ht="23.85" hidden="false" customHeight="false" outlineLevel="0" collapsed="false">
      <c r="A370" s="18" t="s">
        <v>2770</v>
      </c>
      <c r="B370" s="18" t="s">
        <v>106</v>
      </c>
      <c r="C370" s="18" t="s">
        <v>107</v>
      </c>
      <c r="D370" s="18" t="s">
        <v>34</v>
      </c>
      <c r="E370" s="18" t="s">
        <v>17</v>
      </c>
      <c r="F370" s="19" t="s">
        <v>2771</v>
      </c>
      <c r="G370" s="19"/>
      <c r="H370" s="19" t="s">
        <v>2772</v>
      </c>
      <c r="I370" s="19" t="s">
        <v>2773</v>
      </c>
      <c r="J370" s="19" t="s">
        <v>2774</v>
      </c>
      <c r="K370" s="19" t="s">
        <v>2775</v>
      </c>
      <c r="L370" s="19" t="s">
        <v>2776</v>
      </c>
      <c r="M370" s="19"/>
      <c r="N370" s="19"/>
      <c r="O370" s="19" t="s">
        <v>142</v>
      </c>
      <c r="P370" s="19" t="s">
        <v>143</v>
      </c>
      <c r="Q370" s="19"/>
      <c r="R370" s="19"/>
      <c r="S370" s="19"/>
      <c r="T370" s="19"/>
    </row>
    <row r="371" customFormat="false" ht="32.8" hidden="false" customHeight="false" outlineLevel="0" collapsed="false">
      <c r="A371" s="18" t="s">
        <v>2777</v>
      </c>
      <c r="B371" s="18" t="s">
        <v>106</v>
      </c>
      <c r="C371" s="18" t="s">
        <v>107</v>
      </c>
      <c r="D371" s="18" t="s">
        <v>34</v>
      </c>
      <c r="E371" s="18" t="s">
        <v>17</v>
      </c>
      <c r="F371" s="19" t="s">
        <v>2778</v>
      </c>
      <c r="G371" s="20" t="s">
        <v>2779</v>
      </c>
      <c r="H371" s="19" t="s">
        <v>2780</v>
      </c>
      <c r="I371" s="19" t="s">
        <v>2781</v>
      </c>
      <c r="J371" s="19" t="s">
        <v>2782</v>
      </c>
      <c r="K371" s="19" t="s">
        <v>2783</v>
      </c>
      <c r="L371" s="19" t="s">
        <v>2784</v>
      </c>
      <c r="M371" s="19"/>
      <c r="N371" s="19"/>
      <c r="O371" s="19" t="s">
        <v>142</v>
      </c>
      <c r="P371" s="19" t="s">
        <v>143</v>
      </c>
      <c r="Q371" s="19"/>
      <c r="R371" s="19"/>
      <c r="S371" s="19"/>
      <c r="T371" s="19"/>
    </row>
    <row r="372" customFormat="false" ht="23.85" hidden="false" customHeight="false" outlineLevel="0" collapsed="false">
      <c r="A372" s="18" t="s">
        <v>2785</v>
      </c>
      <c r="B372" s="18" t="s">
        <v>106</v>
      </c>
      <c r="C372" s="18" t="s">
        <v>107</v>
      </c>
      <c r="D372" s="18" t="s">
        <v>34</v>
      </c>
      <c r="E372" s="18" t="s">
        <v>17</v>
      </c>
      <c r="F372" s="19" t="s">
        <v>2786</v>
      </c>
      <c r="G372" s="19"/>
      <c r="H372" s="19" t="s">
        <v>2787</v>
      </c>
      <c r="I372" s="19" t="s">
        <v>2788</v>
      </c>
      <c r="J372" s="19" t="s">
        <v>2789</v>
      </c>
      <c r="K372" s="19" t="s">
        <v>2790</v>
      </c>
      <c r="L372" s="19" t="s">
        <v>2791</v>
      </c>
      <c r="M372" s="19"/>
      <c r="N372" s="19"/>
      <c r="O372" s="19" t="s">
        <v>142</v>
      </c>
      <c r="P372" s="19" t="s">
        <v>143</v>
      </c>
      <c r="Q372" s="19"/>
      <c r="R372" s="19"/>
      <c r="S372" s="19"/>
      <c r="T372" s="19"/>
    </row>
    <row r="373" customFormat="false" ht="23.85" hidden="false" customHeight="false" outlineLevel="0" collapsed="false">
      <c r="A373" s="18" t="s">
        <v>2792</v>
      </c>
      <c r="B373" s="18" t="s">
        <v>106</v>
      </c>
      <c r="C373" s="18" t="s">
        <v>107</v>
      </c>
      <c r="D373" s="18" t="s">
        <v>35</v>
      </c>
      <c r="E373" s="18" t="s">
        <v>17</v>
      </c>
      <c r="F373" s="19" t="s">
        <v>2793</v>
      </c>
      <c r="G373" s="20" t="s">
        <v>2794</v>
      </c>
      <c r="H373" s="19" t="s">
        <v>2795</v>
      </c>
      <c r="I373" s="19" t="s">
        <v>2796</v>
      </c>
      <c r="J373" s="19" t="s">
        <v>2797</v>
      </c>
      <c r="K373" s="19" t="s">
        <v>1282</v>
      </c>
      <c r="L373" s="19" t="s">
        <v>2798</v>
      </c>
      <c r="M373" s="19"/>
      <c r="N373" s="19"/>
      <c r="O373" s="19" t="s">
        <v>142</v>
      </c>
      <c r="P373" s="19" t="s">
        <v>143</v>
      </c>
      <c r="Q373" s="19"/>
      <c r="R373" s="19"/>
      <c r="S373" s="19"/>
      <c r="T373" s="19"/>
    </row>
    <row r="374" customFormat="false" ht="35.05" hidden="false" customHeight="false" outlineLevel="0" collapsed="false">
      <c r="A374" s="18" t="s">
        <v>2799</v>
      </c>
      <c r="B374" s="18" t="s">
        <v>106</v>
      </c>
      <c r="C374" s="18" t="s">
        <v>107</v>
      </c>
      <c r="D374" s="18" t="s">
        <v>35</v>
      </c>
      <c r="E374" s="18" t="s">
        <v>17</v>
      </c>
      <c r="F374" s="19" t="s">
        <v>2800</v>
      </c>
      <c r="G374" s="19"/>
      <c r="H374" s="19" t="s">
        <v>2801</v>
      </c>
      <c r="I374" s="19" t="s">
        <v>2802</v>
      </c>
      <c r="J374" s="19" t="s">
        <v>2803</v>
      </c>
      <c r="K374" s="19" t="s">
        <v>2804</v>
      </c>
      <c r="L374" s="19" t="s">
        <v>2805</v>
      </c>
      <c r="M374" s="19"/>
      <c r="N374" s="19"/>
      <c r="O374" s="19" t="s">
        <v>142</v>
      </c>
      <c r="P374" s="19" t="s">
        <v>143</v>
      </c>
      <c r="Q374" s="19"/>
      <c r="R374" s="19"/>
      <c r="S374" s="19"/>
      <c r="T374" s="19"/>
    </row>
    <row r="375" customFormat="false" ht="23.85" hidden="false" customHeight="false" outlineLevel="0" collapsed="false">
      <c r="A375" s="18" t="s">
        <v>2806</v>
      </c>
      <c r="B375" s="18" t="s">
        <v>106</v>
      </c>
      <c r="C375" s="18" t="s">
        <v>107</v>
      </c>
      <c r="D375" s="18" t="s">
        <v>35</v>
      </c>
      <c r="E375" s="18" t="s">
        <v>17</v>
      </c>
      <c r="F375" s="19" t="s">
        <v>2807</v>
      </c>
      <c r="G375" s="19"/>
      <c r="H375" s="19" t="s">
        <v>2808</v>
      </c>
      <c r="I375" s="19" t="s">
        <v>2809</v>
      </c>
      <c r="J375" s="19" t="s">
        <v>2810</v>
      </c>
      <c r="K375" s="19" t="s">
        <v>2811</v>
      </c>
      <c r="L375" s="19" t="s">
        <v>2812</v>
      </c>
      <c r="M375" s="19"/>
      <c r="N375" s="19"/>
      <c r="O375" s="19" t="s">
        <v>142</v>
      </c>
      <c r="P375" s="19" t="s">
        <v>143</v>
      </c>
      <c r="Q375" s="19"/>
      <c r="R375" s="19"/>
      <c r="S375" s="19"/>
      <c r="T375" s="19"/>
    </row>
    <row r="376" customFormat="false" ht="74.6" hidden="false" customHeight="false" outlineLevel="0" collapsed="false">
      <c r="A376" s="18" t="s">
        <v>2813</v>
      </c>
      <c r="B376" s="18" t="s">
        <v>106</v>
      </c>
      <c r="C376" s="18" t="s">
        <v>107</v>
      </c>
      <c r="D376" s="18" t="s">
        <v>35</v>
      </c>
      <c r="E376" s="18" t="s">
        <v>17</v>
      </c>
      <c r="F376" s="19" t="s">
        <v>2814</v>
      </c>
      <c r="G376" s="20" t="s">
        <v>2815</v>
      </c>
      <c r="H376" s="19" t="s">
        <v>2816</v>
      </c>
      <c r="I376" s="19" t="s">
        <v>2817</v>
      </c>
      <c r="J376" s="19" t="s">
        <v>2818</v>
      </c>
      <c r="K376" s="19" t="s">
        <v>2819</v>
      </c>
      <c r="L376" s="19" t="s">
        <v>2820</v>
      </c>
      <c r="M376" s="19"/>
      <c r="N376" s="19"/>
      <c r="O376" s="19" t="s">
        <v>142</v>
      </c>
      <c r="P376" s="19" t="s">
        <v>143</v>
      </c>
      <c r="Q376" s="19"/>
      <c r="R376" s="19"/>
      <c r="S376" s="19"/>
      <c r="T376" s="19"/>
    </row>
    <row r="377" customFormat="false" ht="43.25" hidden="false" customHeight="false" outlineLevel="0" collapsed="false">
      <c r="A377" s="18" t="s">
        <v>2821</v>
      </c>
      <c r="B377" s="18" t="s">
        <v>106</v>
      </c>
      <c r="C377" s="18" t="s">
        <v>109</v>
      </c>
      <c r="D377" s="18" t="s">
        <v>33</v>
      </c>
      <c r="E377" s="18" t="s">
        <v>17</v>
      </c>
      <c r="F377" s="19" t="s">
        <v>2822</v>
      </c>
      <c r="G377" s="20" t="s">
        <v>2823</v>
      </c>
      <c r="H377" s="19" t="s">
        <v>2824</v>
      </c>
      <c r="I377" s="19" t="s">
        <v>2825</v>
      </c>
      <c r="J377" s="19" t="s">
        <v>2826</v>
      </c>
      <c r="K377" s="19" t="s">
        <v>2676</v>
      </c>
      <c r="L377" s="19" t="s">
        <v>2827</v>
      </c>
      <c r="M377" s="19"/>
      <c r="N377" s="19"/>
      <c r="O377" s="19" t="s">
        <v>142</v>
      </c>
      <c r="P377" s="19" t="s">
        <v>143</v>
      </c>
      <c r="Q377" s="19"/>
      <c r="R377" s="19"/>
      <c r="S377" s="19"/>
      <c r="T377" s="19"/>
    </row>
    <row r="378" customFormat="false" ht="23.85" hidden="false" customHeight="false" outlineLevel="0" collapsed="false">
      <c r="A378" s="18" t="s">
        <v>2828</v>
      </c>
      <c r="B378" s="18" t="s">
        <v>106</v>
      </c>
      <c r="C378" s="18" t="s">
        <v>109</v>
      </c>
      <c r="D378" s="18" t="s">
        <v>33</v>
      </c>
      <c r="E378" s="18" t="s">
        <v>17</v>
      </c>
      <c r="F378" s="19" t="s">
        <v>2829</v>
      </c>
      <c r="G378" s="19"/>
      <c r="H378" s="19" t="s">
        <v>2830</v>
      </c>
      <c r="I378" s="19" t="s">
        <v>1684</v>
      </c>
      <c r="J378" s="19" t="s">
        <v>2831</v>
      </c>
      <c r="K378" s="19" t="s">
        <v>2832</v>
      </c>
      <c r="L378" s="19" t="s">
        <v>2833</v>
      </c>
      <c r="M378" s="19"/>
      <c r="N378" s="19"/>
      <c r="O378" s="19" t="s">
        <v>142</v>
      </c>
      <c r="P378" s="19" t="s">
        <v>143</v>
      </c>
      <c r="Q378" s="19"/>
      <c r="R378" s="19"/>
      <c r="S378" s="19"/>
      <c r="T378" s="19"/>
    </row>
    <row r="379" customFormat="false" ht="35.05" hidden="false" customHeight="false" outlineLevel="0" collapsed="false">
      <c r="A379" s="18" t="s">
        <v>2834</v>
      </c>
      <c r="B379" s="18" t="s">
        <v>106</v>
      </c>
      <c r="C379" s="18" t="s">
        <v>109</v>
      </c>
      <c r="D379" s="18" t="s">
        <v>33</v>
      </c>
      <c r="E379" s="18" t="s">
        <v>17</v>
      </c>
      <c r="F379" s="19" t="s">
        <v>2835</v>
      </c>
      <c r="G379" s="19"/>
      <c r="H379" s="19" t="s">
        <v>2836</v>
      </c>
      <c r="I379" s="19" t="s">
        <v>2837</v>
      </c>
      <c r="J379" s="19" t="s">
        <v>2838</v>
      </c>
      <c r="K379" s="19" t="s">
        <v>2839</v>
      </c>
      <c r="L379" s="19" t="s">
        <v>2840</v>
      </c>
      <c r="M379" s="19"/>
      <c r="N379" s="19"/>
      <c r="O379" s="19" t="s">
        <v>142</v>
      </c>
      <c r="P379" s="19" t="s">
        <v>143</v>
      </c>
      <c r="Q379" s="19"/>
      <c r="R379" s="19"/>
      <c r="S379" s="19"/>
      <c r="T379" s="19"/>
    </row>
    <row r="380" customFormat="false" ht="23.85" hidden="false" customHeight="false" outlineLevel="0" collapsed="false">
      <c r="A380" s="18" t="s">
        <v>2841</v>
      </c>
      <c r="B380" s="18" t="s">
        <v>106</v>
      </c>
      <c r="C380" s="18" t="s">
        <v>109</v>
      </c>
      <c r="D380" s="18" t="s">
        <v>33</v>
      </c>
      <c r="E380" s="18" t="s">
        <v>19</v>
      </c>
      <c r="F380" s="19" t="s">
        <v>2842</v>
      </c>
      <c r="G380" s="19"/>
      <c r="H380" s="19" t="s">
        <v>2843</v>
      </c>
      <c r="I380" s="19" t="s">
        <v>2844</v>
      </c>
      <c r="J380" s="19" t="s">
        <v>2845</v>
      </c>
      <c r="K380" s="19" t="s">
        <v>2846</v>
      </c>
      <c r="L380" s="19" t="s">
        <v>2847</v>
      </c>
      <c r="M380" s="19"/>
      <c r="N380" s="19"/>
      <c r="O380" s="19" t="s">
        <v>142</v>
      </c>
      <c r="P380" s="19" t="s">
        <v>143</v>
      </c>
      <c r="Q380" s="19"/>
      <c r="R380" s="19"/>
      <c r="S380" s="19"/>
      <c r="T380" s="19"/>
    </row>
    <row r="381" customFormat="false" ht="43.25" hidden="false" customHeight="false" outlineLevel="0" collapsed="false">
      <c r="A381" s="18" t="s">
        <v>2848</v>
      </c>
      <c r="B381" s="18" t="s">
        <v>106</v>
      </c>
      <c r="C381" s="18" t="s">
        <v>109</v>
      </c>
      <c r="D381" s="18" t="s">
        <v>34</v>
      </c>
      <c r="E381" s="18" t="s">
        <v>17</v>
      </c>
      <c r="F381" s="19" t="s">
        <v>2849</v>
      </c>
      <c r="G381" s="20" t="s">
        <v>2850</v>
      </c>
      <c r="H381" s="19" t="s">
        <v>2851</v>
      </c>
      <c r="I381" s="19" t="s">
        <v>2852</v>
      </c>
      <c r="J381" s="19" t="s">
        <v>2853</v>
      </c>
      <c r="K381" s="19" t="s">
        <v>2854</v>
      </c>
      <c r="L381" s="19" t="s">
        <v>2855</v>
      </c>
      <c r="M381" s="19"/>
      <c r="N381" s="19"/>
      <c r="O381" s="19" t="s">
        <v>142</v>
      </c>
      <c r="P381" s="19" t="s">
        <v>143</v>
      </c>
      <c r="Q381" s="19"/>
      <c r="R381" s="19"/>
      <c r="S381" s="19"/>
      <c r="T381" s="19"/>
    </row>
    <row r="382" customFormat="false" ht="53.7" hidden="false" customHeight="false" outlineLevel="0" collapsed="false">
      <c r="A382" s="18" t="s">
        <v>2856</v>
      </c>
      <c r="B382" s="18" t="s">
        <v>106</v>
      </c>
      <c r="C382" s="18" t="s">
        <v>109</v>
      </c>
      <c r="D382" s="18" t="s">
        <v>34</v>
      </c>
      <c r="E382" s="18" t="s">
        <v>17</v>
      </c>
      <c r="F382" s="19" t="s">
        <v>2857</v>
      </c>
      <c r="G382" s="20" t="s">
        <v>2858</v>
      </c>
      <c r="H382" s="19" t="s">
        <v>2859</v>
      </c>
      <c r="I382" s="19" t="s">
        <v>2860</v>
      </c>
      <c r="J382" s="19" t="s">
        <v>2861</v>
      </c>
      <c r="K382" s="19" t="s">
        <v>2862</v>
      </c>
      <c r="L382" s="19" t="s">
        <v>2863</v>
      </c>
      <c r="M382" s="19"/>
      <c r="N382" s="19"/>
      <c r="O382" s="19" t="s">
        <v>142</v>
      </c>
      <c r="P382" s="19" t="s">
        <v>143</v>
      </c>
      <c r="Q382" s="19"/>
      <c r="R382" s="19"/>
      <c r="S382" s="19"/>
      <c r="T382" s="19"/>
    </row>
    <row r="383" customFormat="false" ht="43.25" hidden="false" customHeight="false" outlineLevel="0" collapsed="false">
      <c r="A383" s="18" t="s">
        <v>2864</v>
      </c>
      <c r="B383" s="18" t="s">
        <v>106</v>
      </c>
      <c r="C383" s="18" t="s">
        <v>109</v>
      </c>
      <c r="D383" s="18" t="s">
        <v>34</v>
      </c>
      <c r="E383" s="18" t="s">
        <v>17</v>
      </c>
      <c r="F383" s="19" t="s">
        <v>2865</v>
      </c>
      <c r="G383" s="20" t="s">
        <v>2866</v>
      </c>
      <c r="H383" s="19" t="s">
        <v>2867</v>
      </c>
      <c r="I383" s="19" t="s">
        <v>2868</v>
      </c>
      <c r="J383" s="19" t="s">
        <v>2869</v>
      </c>
      <c r="K383" s="19" t="s">
        <v>2870</v>
      </c>
      <c r="L383" s="19" t="s">
        <v>2871</v>
      </c>
      <c r="M383" s="19"/>
      <c r="N383" s="19"/>
      <c r="O383" s="19" t="s">
        <v>142</v>
      </c>
      <c r="P383" s="19" t="s">
        <v>143</v>
      </c>
      <c r="Q383" s="19"/>
      <c r="R383" s="19"/>
      <c r="S383" s="19"/>
      <c r="T383" s="19"/>
    </row>
    <row r="384" customFormat="false" ht="64.15" hidden="false" customHeight="false" outlineLevel="0" collapsed="false">
      <c r="A384" s="18" t="s">
        <v>2872</v>
      </c>
      <c r="B384" s="18" t="s">
        <v>106</v>
      </c>
      <c r="C384" s="18" t="s">
        <v>109</v>
      </c>
      <c r="D384" s="18" t="s">
        <v>34</v>
      </c>
      <c r="E384" s="18" t="s">
        <v>17</v>
      </c>
      <c r="F384" s="19" t="s">
        <v>2873</v>
      </c>
      <c r="G384" s="20" t="s">
        <v>2874</v>
      </c>
      <c r="H384" s="19" t="s">
        <v>2875</v>
      </c>
      <c r="I384" s="19" t="s">
        <v>2876</v>
      </c>
      <c r="J384" s="19" t="s">
        <v>2877</v>
      </c>
      <c r="K384" s="19" t="s">
        <v>2878</v>
      </c>
      <c r="L384" s="19" t="s">
        <v>2879</v>
      </c>
      <c r="M384" s="19"/>
      <c r="N384" s="19"/>
      <c r="O384" s="19" t="s">
        <v>142</v>
      </c>
      <c r="P384" s="19" t="s">
        <v>143</v>
      </c>
      <c r="Q384" s="19"/>
      <c r="R384" s="19"/>
      <c r="S384" s="19"/>
      <c r="T384" s="19"/>
    </row>
    <row r="385" customFormat="false" ht="23.85" hidden="false" customHeight="false" outlineLevel="0" collapsed="false">
      <c r="A385" s="18" t="s">
        <v>2880</v>
      </c>
      <c r="B385" s="18" t="s">
        <v>106</v>
      </c>
      <c r="C385" s="18" t="s">
        <v>109</v>
      </c>
      <c r="D385" s="18" t="s">
        <v>35</v>
      </c>
      <c r="E385" s="18" t="s">
        <v>17</v>
      </c>
      <c r="F385" s="19" t="s">
        <v>2881</v>
      </c>
      <c r="G385" s="20" t="s">
        <v>2882</v>
      </c>
      <c r="H385" s="19" t="s">
        <v>2883</v>
      </c>
      <c r="I385" s="19" t="s">
        <v>2884</v>
      </c>
      <c r="J385" s="19" t="s">
        <v>2885</v>
      </c>
      <c r="K385" s="19" t="s">
        <v>2886</v>
      </c>
      <c r="L385" s="19" t="s">
        <v>2887</v>
      </c>
      <c r="M385" s="19"/>
      <c r="N385" s="19"/>
      <c r="O385" s="19" t="s">
        <v>142</v>
      </c>
      <c r="P385" s="19" t="s">
        <v>143</v>
      </c>
      <c r="Q385" s="19"/>
      <c r="R385" s="19"/>
      <c r="S385" s="19"/>
      <c r="T385" s="19"/>
    </row>
    <row r="386" customFormat="false" ht="43.25" hidden="false" customHeight="false" outlineLevel="0" collapsed="false">
      <c r="A386" s="18" t="s">
        <v>2888</v>
      </c>
      <c r="B386" s="18" t="s">
        <v>106</v>
      </c>
      <c r="C386" s="18" t="s">
        <v>109</v>
      </c>
      <c r="D386" s="18" t="s">
        <v>35</v>
      </c>
      <c r="E386" s="18" t="s">
        <v>17</v>
      </c>
      <c r="F386" s="19" t="s">
        <v>2889</v>
      </c>
      <c r="G386" s="20" t="s">
        <v>2890</v>
      </c>
      <c r="H386" s="19" t="s">
        <v>2891</v>
      </c>
      <c r="I386" s="19" t="s">
        <v>2892</v>
      </c>
      <c r="J386" s="19" t="s">
        <v>2893</v>
      </c>
      <c r="K386" s="19" t="s">
        <v>900</v>
      </c>
      <c r="L386" s="19" t="s">
        <v>2894</v>
      </c>
      <c r="M386" s="19"/>
      <c r="N386" s="19"/>
      <c r="O386" s="19" t="s">
        <v>142</v>
      </c>
      <c r="P386" s="19" t="s">
        <v>143</v>
      </c>
      <c r="Q386" s="19"/>
      <c r="R386" s="19"/>
      <c r="S386" s="19"/>
      <c r="T386" s="19"/>
    </row>
    <row r="387" customFormat="false" ht="105.95" hidden="false" customHeight="false" outlineLevel="0" collapsed="false">
      <c r="A387" s="18" t="s">
        <v>2895</v>
      </c>
      <c r="B387" s="18" t="s">
        <v>106</v>
      </c>
      <c r="C387" s="18" t="s">
        <v>109</v>
      </c>
      <c r="D387" s="18" t="s">
        <v>35</v>
      </c>
      <c r="E387" s="18" t="s">
        <v>17</v>
      </c>
      <c r="F387" s="19" t="s">
        <v>2896</v>
      </c>
      <c r="G387" s="20" t="s">
        <v>2897</v>
      </c>
      <c r="H387" s="19" t="s">
        <v>2898</v>
      </c>
      <c r="I387" s="19" t="s">
        <v>2899</v>
      </c>
      <c r="J387" s="19" t="s">
        <v>2900</v>
      </c>
      <c r="K387" s="19" t="s">
        <v>399</v>
      </c>
      <c r="L387" s="19" t="s">
        <v>2901</v>
      </c>
      <c r="M387" s="19"/>
      <c r="N387" s="19"/>
      <c r="O387" s="19" t="s">
        <v>142</v>
      </c>
      <c r="P387" s="19" t="s">
        <v>143</v>
      </c>
      <c r="Q387" s="19"/>
      <c r="R387" s="19"/>
      <c r="S387" s="19"/>
      <c r="T387" s="19"/>
    </row>
    <row r="388" customFormat="false" ht="23.85" hidden="false" customHeight="false" outlineLevel="0" collapsed="false">
      <c r="A388" s="18" t="s">
        <v>2902</v>
      </c>
      <c r="B388" s="18" t="s">
        <v>106</v>
      </c>
      <c r="C388" s="18" t="s">
        <v>109</v>
      </c>
      <c r="D388" s="18" t="s">
        <v>35</v>
      </c>
      <c r="E388" s="18" t="s">
        <v>17</v>
      </c>
      <c r="F388" s="19" t="s">
        <v>2903</v>
      </c>
      <c r="G388" s="20" t="s">
        <v>2904</v>
      </c>
      <c r="H388" s="19" t="s">
        <v>2905</v>
      </c>
      <c r="I388" s="19" t="s">
        <v>2906</v>
      </c>
      <c r="J388" s="19" t="s">
        <v>2907</v>
      </c>
      <c r="K388" s="19" t="s">
        <v>2908</v>
      </c>
      <c r="L388" s="19" t="s">
        <v>2909</v>
      </c>
      <c r="M388" s="19"/>
      <c r="N388" s="19"/>
      <c r="O388" s="19" t="s">
        <v>142</v>
      </c>
      <c r="P388" s="19" t="s">
        <v>143</v>
      </c>
      <c r="Q388" s="19"/>
      <c r="R388" s="19"/>
      <c r="S388" s="19"/>
      <c r="T388" s="19"/>
    </row>
    <row r="389" customFormat="false" ht="35.05" hidden="false" customHeight="false" outlineLevel="0" collapsed="false">
      <c r="A389" s="18" t="s">
        <v>2910</v>
      </c>
      <c r="B389" s="18" t="s">
        <v>106</v>
      </c>
      <c r="C389" s="18" t="s">
        <v>111</v>
      </c>
      <c r="D389" s="18" t="s">
        <v>33</v>
      </c>
      <c r="E389" s="18" t="s">
        <v>17</v>
      </c>
      <c r="F389" s="19" t="s">
        <v>2911</v>
      </c>
      <c r="G389" s="19"/>
      <c r="H389" s="19" t="s">
        <v>2912</v>
      </c>
      <c r="I389" s="19" t="s">
        <v>2913</v>
      </c>
      <c r="J389" s="19" t="s">
        <v>2914</v>
      </c>
      <c r="K389" s="19" t="s">
        <v>2915</v>
      </c>
      <c r="L389" s="19" t="s">
        <v>2916</v>
      </c>
      <c r="M389" s="19"/>
      <c r="N389" s="19"/>
      <c r="O389" s="19" t="s">
        <v>142</v>
      </c>
      <c r="P389" s="19" t="s">
        <v>143</v>
      </c>
      <c r="Q389" s="19"/>
      <c r="R389" s="19"/>
      <c r="S389" s="19"/>
      <c r="T389" s="19"/>
    </row>
    <row r="390" customFormat="false" ht="23.85" hidden="false" customHeight="false" outlineLevel="0" collapsed="false">
      <c r="A390" s="18" t="s">
        <v>2917</v>
      </c>
      <c r="B390" s="18" t="s">
        <v>106</v>
      </c>
      <c r="C390" s="18" t="s">
        <v>111</v>
      </c>
      <c r="D390" s="18" t="s">
        <v>33</v>
      </c>
      <c r="E390" s="18" t="s">
        <v>17</v>
      </c>
      <c r="F390" s="19" t="s">
        <v>2918</v>
      </c>
      <c r="G390" s="19"/>
      <c r="H390" s="19" t="s">
        <v>2919</v>
      </c>
      <c r="I390" s="19" t="s">
        <v>2920</v>
      </c>
      <c r="J390" s="19" t="s">
        <v>2921</v>
      </c>
      <c r="K390" s="19" t="s">
        <v>2922</v>
      </c>
      <c r="L390" s="19" t="s">
        <v>2923</v>
      </c>
      <c r="M390" s="19"/>
      <c r="N390" s="19"/>
      <c r="O390" s="19" t="s">
        <v>142</v>
      </c>
      <c r="P390" s="19" t="s">
        <v>143</v>
      </c>
      <c r="Q390" s="19"/>
      <c r="R390" s="19"/>
      <c r="S390" s="19"/>
      <c r="T390" s="19"/>
    </row>
    <row r="391" customFormat="false" ht="35.05" hidden="false" customHeight="false" outlineLevel="0" collapsed="false">
      <c r="A391" s="18" t="s">
        <v>2924</v>
      </c>
      <c r="B391" s="18" t="s">
        <v>106</v>
      </c>
      <c r="C391" s="18" t="s">
        <v>111</v>
      </c>
      <c r="D391" s="18" t="s">
        <v>33</v>
      </c>
      <c r="E391" s="18" t="s">
        <v>17</v>
      </c>
      <c r="F391" s="19" t="s">
        <v>2925</v>
      </c>
      <c r="G391" s="19"/>
      <c r="H391" s="19" t="s">
        <v>2926</v>
      </c>
      <c r="I391" s="19" t="s">
        <v>2927</v>
      </c>
      <c r="J391" s="19" t="s">
        <v>2928</v>
      </c>
      <c r="K391" s="19" t="s">
        <v>2929</v>
      </c>
      <c r="L391" s="19" t="s">
        <v>2930</v>
      </c>
      <c r="M391" s="19"/>
      <c r="N391" s="19"/>
      <c r="O391" s="19" t="s">
        <v>142</v>
      </c>
      <c r="P391" s="19" t="s">
        <v>143</v>
      </c>
      <c r="Q391" s="19"/>
      <c r="R391" s="19"/>
      <c r="S391" s="19"/>
      <c r="T391" s="19"/>
    </row>
    <row r="392" customFormat="false" ht="23.85" hidden="false" customHeight="false" outlineLevel="0" collapsed="false">
      <c r="A392" s="18" t="s">
        <v>2931</v>
      </c>
      <c r="B392" s="18" t="s">
        <v>106</v>
      </c>
      <c r="C392" s="18" t="s">
        <v>111</v>
      </c>
      <c r="D392" s="18" t="s">
        <v>33</v>
      </c>
      <c r="E392" s="18" t="s">
        <v>17</v>
      </c>
      <c r="F392" s="19" t="s">
        <v>2932</v>
      </c>
      <c r="G392" s="19"/>
      <c r="H392" s="19" t="s">
        <v>2933</v>
      </c>
      <c r="I392" s="19" t="s">
        <v>2934</v>
      </c>
      <c r="J392" s="19" t="s">
        <v>2935</v>
      </c>
      <c r="K392" s="19" t="s">
        <v>2936</v>
      </c>
      <c r="L392" s="19" t="s">
        <v>2937</v>
      </c>
      <c r="M392" s="19"/>
      <c r="N392" s="19"/>
      <c r="O392" s="19" t="s">
        <v>142</v>
      </c>
      <c r="P392" s="19" t="s">
        <v>143</v>
      </c>
      <c r="Q392" s="19"/>
      <c r="R392" s="19"/>
      <c r="S392" s="19"/>
      <c r="T392" s="19"/>
    </row>
    <row r="393" customFormat="false" ht="46.25" hidden="false" customHeight="false" outlineLevel="0" collapsed="false">
      <c r="A393" s="18" t="s">
        <v>2938</v>
      </c>
      <c r="B393" s="18" t="s">
        <v>106</v>
      </c>
      <c r="C393" s="18" t="s">
        <v>111</v>
      </c>
      <c r="D393" s="18" t="s">
        <v>34</v>
      </c>
      <c r="E393" s="18" t="s">
        <v>17</v>
      </c>
      <c r="F393" s="19" t="s">
        <v>2939</v>
      </c>
      <c r="G393" s="19"/>
      <c r="H393" s="19" t="s">
        <v>2940</v>
      </c>
      <c r="I393" s="19" t="s">
        <v>2941</v>
      </c>
      <c r="J393" s="19" t="s">
        <v>2942</v>
      </c>
      <c r="K393" s="19" t="s">
        <v>1640</v>
      </c>
      <c r="L393" s="19" t="s">
        <v>2943</v>
      </c>
      <c r="M393" s="19"/>
      <c r="N393" s="19"/>
      <c r="O393" s="19" t="s">
        <v>142</v>
      </c>
      <c r="P393" s="19" t="s">
        <v>143</v>
      </c>
      <c r="Q393" s="19"/>
      <c r="R393" s="19"/>
      <c r="S393" s="19"/>
      <c r="T393" s="19"/>
    </row>
    <row r="394" customFormat="false" ht="35.05" hidden="false" customHeight="false" outlineLevel="0" collapsed="false">
      <c r="A394" s="18" t="s">
        <v>2944</v>
      </c>
      <c r="B394" s="18" t="s">
        <v>106</v>
      </c>
      <c r="C394" s="18" t="s">
        <v>111</v>
      </c>
      <c r="D394" s="18" t="s">
        <v>34</v>
      </c>
      <c r="E394" s="18" t="s">
        <v>17</v>
      </c>
      <c r="F394" s="19" t="s">
        <v>2945</v>
      </c>
      <c r="G394" s="19"/>
      <c r="H394" s="19" t="s">
        <v>2946</v>
      </c>
      <c r="I394" s="19" t="s">
        <v>2947</v>
      </c>
      <c r="J394" s="19" t="s">
        <v>2948</v>
      </c>
      <c r="K394" s="19" t="s">
        <v>2949</v>
      </c>
      <c r="L394" s="19" t="s">
        <v>2950</v>
      </c>
      <c r="M394" s="19"/>
      <c r="N394" s="19"/>
      <c r="O394" s="19" t="s">
        <v>142</v>
      </c>
      <c r="P394" s="19" t="s">
        <v>143</v>
      </c>
      <c r="Q394" s="19"/>
      <c r="R394" s="19"/>
      <c r="S394" s="19"/>
      <c r="T394" s="19"/>
    </row>
    <row r="395" customFormat="false" ht="35.05" hidden="false" customHeight="false" outlineLevel="0" collapsed="false">
      <c r="A395" s="18" t="s">
        <v>2951</v>
      </c>
      <c r="B395" s="18" t="s">
        <v>106</v>
      </c>
      <c r="C395" s="18" t="s">
        <v>111</v>
      </c>
      <c r="D395" s="18" t="s">
        <v>34</v>
      </c>
      <c r="E395" s="18" t="s">
        <v>17</v>
      </c>
      <c r="F395" s="19" t="s">
        <v>2952</v>
      </c>
      <c r="G395" s="19"/>
      <c r="H395" s="19" t="s">
        <v>2953</v>
      </c>
      <c r="I395" s="19" t="s">
        <v>1113</v>
      </c>
      <c r="J395" s="19" t="s">
        <v>2954</v>
      </c>
      <c r="K395" s="19" t="s">
        <v>2955</v>
      </c>
      <c r="L395" s="19" t="s">
        <v>2956</v>
      </c>
      <c r="M395" s="19"/>
      <c r="N395" s="19"/>
      <c r="O395" s="19" t="s">
        <v>142</v>
      </c>
      <c r="P395" s="19" t="s">
        <v>143</v>
      </c>
      <c r="Q395" s="19"/>
      <c r="R395" s="19"/>
      <c r="S395" s="19"/>
      <c r="T395" s="19"/>
    </row>
    <row r="396" customFormat="false" ht="158.2" hidden="false" customHeight="false" outlineLevel="0" collapsed="false">
      <c r="A396" s="18" t="s">
        <v>2957</v>
      </c>
      <c r="B396" s="18" t="s">
        <v>106</v>
      </c>
      <c r="C396" s="18" t="s">
        <v>111</v>
      </c>
      <c r="D396" s="18" t="s">
        <v>34</v>
      </c>
      <c r="E396" s="18" t="s">
        <v>17</v>
      </c>
      <c r="F396" s="19" t="s">
        <v>2958</v>
      </c>
      <c r="G396" s="20" t="s">
        <v>2959</v>
      </c>
      <c r="H396" s="19" t="s">
        <v>2960</v>
      </c>
      <c r="I396" s="19" t="s">
        <v>665</v>
      </c>
      <c r="J396" s="19" t="s">
        <v>2961</v>
      </c>
      <c r="K396" s="19" t="s">
        <v>2962</v>
      </c>
      <c r="L396" s="19" t="s">
        <v>2963</v>
      </c>
      <c r="M396" s="19"/>
      <c r="N396" s="19"/>
      <c r="O396" s="19" t="s">
        <v>142</v>
      </c>
      <c r="P396" s="19" t="s">
        <v>143</v>
      </c>
      <c r="Q396" s="19"/>
      <c r="R396" s="19"/>
      <c r="S396" s="19"/>
      <c r="T396" s="19"/>
    </row>
    <row r="397" customFormat="false" ht="35.05" hidden="false" customHeight="false" outlineLevel="0" collapsed="false">
      <c r="A397" s="18" t="s">
        <v>2964</v>
      </c>
      <c r="B397" s="18" t="s">
        <v>106</v>
      </c>
      <c r="C397" s="18" t="s">
        <v>111</v>
      </c>
      <c r="D397" s="18" t="s">
        <v>35</v>
      </c>
      <c r="E397" s="18" t="s">
        <v>17</v>
      </c>
      <c r="F397" s="19" t="s">
        <v>2965</v>
      </c>
      <c r="G397" s="19"/>
      <c r="H397" s="19" t="s">
        <v>2966</v>
      </c>
      <c r="I397" s="19" t="s">
        <v>2967</v>
      </c>
      <c r="J397" s="19" t="s">
        <v>1433</v>
      </c>
      <c r="K397" s="19" t="s">
        <v>2968</v>
      </c>
      <c r="L397" s="19" t="s">
        <v>2969</v>
      </c>
      <c r="M397" s="19"/>
      <c r="N397" s="19"/>
      <c r="O397" s="19" t="s">
        <v>142</v>
      </c>
      <c r="P397" s="19" t="s">
        <v>143</v>
      </c>
      <c r="Q397" s="19"/>
      <c r="R397" s="19"/>
      <c r="S397" s="19"/>
      <c r="T397" s="19"/>
    </row>
    <row r="398" customFormat="false" ht="35.05" hidden="false" customHeight="false" outlineLevel="0" collapsed="false">
      <c r="A398" s="18" t="s">
        <v>2970</v>
      </c>
      <c r="B398" s="18" t="s">
        <v>106</v>
      </c>
      <c r="C398" s="18" t="s">
        <v>111</v>
      </c>
      <c r="D398" s="18" t="s">
        <v>35</v>
      </c>
      <c r="E398" s="18" t="s">
        <v>17</v>
      </c>
      <c r="F398" s="19" t="s">
        <v>2971</v>
      </c>
      <c r="G398" s="19"/>
      <c r="H398" s="19" t="s">
        <v>2972</v>
      </c>
      <c r="I398" s="19" t="s">
        <v>2973</v>
      </c>
      <c r="J398" s="19" t="s">
        <v>2974</v>
      </c>
      <c r="K398" s="19" t="s">
        <v>2975</v>
      </c>
      <c r="L398" s="19" t="s">
        <v>2976</v>
      </c>
      <c r="M398" s="19"/>
      <c r="N398" s="19"/>
      <c r="O398" s="19" t="s">
        <v>142</v>
      </c>
      <c r="P398" s="19" t="s">
        <v>143</v>
      </c>
      <c r="Q398" s="19"/>
      <c r="R398" s="19"/>
      <c r="S398" s="19"/>
      <c r="T398" s="19"/>
    </row>
    <row r="399" customFormat="false" ht="35.05" hidden="false" customHeight="false" outlineLevel="0" collapsed="false">
      <c r="A399" s="18" t="s">
        <v>2977</v>
      </c>
      <c r="B399" s="18" t="s">
        <v>106</v>
      </c>
      <c r="C399" s="18" t="s">
        <v>111</v>
      </c>
      <c r="D399" s="18" t="s">
        <v>35</v>
      </c>
      <c r="E399" s="18" t="s">
        <v>17</v>
      </c>
      <c r="F399" s="19" t="s">
        <v>2978</v>
      </c>
      <c r="G399" s="19"/>
      <c r="H399" s="19" t="s">
        <v>2979</v>
      </c>
      <c r="I399" s="19" t="s">
        <v>2980</v>
      </c>
      <c r="J399" s="19" t="s">
        <v>2981</v>
      </c>
      <c r="K399" s="19" t="s">
        <v>2982</v>
      </c>
      <c r="L399" s="19" t="s">
        <v>2983</v>
      </c>
      <c r="M399" s="19"/>
      <c r="N399" s="19"/>
      <c r="O399" s="19" t="s">
        <v>142</v>
      </c>
      <c r="P399" s="19" t="s">
        <v>143</v>
      </c>
      <c r="Q399" s="19"/>
      <c r="R399" s="19"/>
      <c r="S399" s="19"/>
      <c r="T399" s="19"/>
    </row>
    <row r="400" customFormat="false" ht="35.05" hidden="false" customHeight="false" outlineLevel="0" collapsed="false">
      <c r="A400" s="18" t="s">
        <v>2984</v>
      </c>
      <c r="B400" s="18" t="s">
        <v>106</v>
      </c>
      <c r="C400" s="18" t="s">
        <v>111</v>
      </c>
      <c r="D400" s="18" t="s">
        <v>35</v>
      </c>
      <c r="E400" s="18" t="s">
        <v>17</v>
      </c>
      <c r="F400" s="19" t="s">
        <v>2985</v>
      </c>
      <c r="G400" s="19"/>
      <c r="H400" s="19" t="s">
        <v>2986</v>
      </c>
      <c r="I400" s="19" t="s">
        <v>2987</v>
      </c>
      <c r="J400" s="19" t="s">
        <v>2988</v>
      </c>
      <c r="K400" s="19" t="s">
        <v>2989</v>
      </c>
      <c r="L400" s="19" t="s">
        <v>2990</v>
      </c>
      <c r="M400" s="19"/>
      <c r="N400" s="19"/>
      <c r="O400" s="19" t="s">
        <v>142</v>
      </c>
      <c r="P400" s="19" t="s">
        <v>143</v>
      </c>
      <c r="Q400" s="19"/>
      <c r="R400" s="19"/>
      <c r="S400" s="19"/>
      <c r="T400" s="19"/>
    </row>
    <row r="401" customFormat="false" ht="23.85" hidden="false" customHeight="false" outlineLevel="0" collapsed="false">
      <c r="A401" s="18" t="s">
        <v>2991</v>
      </c>
      <c r="B401" s="18" t="s">
        <v>106</v>
      </c>
      <c r="C401" s="18" t="s">
        <v>113</v>
      </c>
      <c r="D401" s="18" t="s">
        <v>33</v>
      </c>
      <c r="E401" s="18" t="s">
        <v>17</v>
      </c>
      <c r="F401" s="19" t="s">
        <v>2992</v>
      </c>
      <c r="G401" s="19"/>
      <c r="H401" s="19" t="s">
        <v>2351</v>
      </c>
      <c r="I401" s="19" t="s">
        <v>2993</v>
      </c>
      <c r="J401" s="19" t="s">
        <v>2994</v>
      </c>
      <c r="K401" s="19" t="s">
        <v>2995</v>
      </c>
      <c r="L401" s="19" t="s">
        <v>2996</v>
      </c>
      <c r="M401" s="19"/>
      <c r="N401" s="19"/>
      <c r="O401" s="19" t="s">
        <v>142</v>
      </c>
      <c r="P401" s="19" t="s">
        <v>143</v>
      </c>
      <c r="Q401" s="19"/>
      <c r="R401" s="19"/>
      <c r="S401" s="19"/>
      <c r="T401" s="19"/>
    </row>
    <row r="402" customFormat="false" ht="23.85" hidden="false" customHeight="false" outlineLevel="0" collapsed="false">
      <c r="A402" s="18" t="s">
        <v>2997</v>
      </c>
      <c r="B402" s="18" t="s">
        <v>106</v>
      </c>
      <c r="C402" s="18" t="s">
        <v>113</v>
      </c>
      <c r="D402" s="18" t="s">
        <v>33</v>
      </c>
      <c r="E402" s="18" t="s">
        <v>17</v>
      </c>
      <c r="F402" s="19" t="s">
        <v>2998</v>
      </c>
      <c r="G402" s="19"/>
      <c r="H402" s="19" t="s">
        <v>2994</v>
      </c>
      <c r="I402" s="19" t="s">
        <v>2351</v>
      </c>
      <c r="J402" s="19" t="s">
        <v>2999</v>
      </c>
      <c r="K402" s="19" t="s">
        <v>3000</v>
      </c>
      <c r="L402" s="19" t="s">
        <v>3001</v>
      </c>
      <c r="M402" s="19"/>
      <c r="N402" s="19"/>
      <c r="O402" s="19" t="s">
        <v>142</v>
      </c>
      <c r="P402" s="19" t="s">
        <v>143</v>
      </c>
      <c r="Q402" s="19"/>
      <c r="R402" s="19"/>
      <c r="S402" s="19"/>
      <c r="T402" s="19"/>
    </row>
    <row r="403" customFormat="false" ht="32.8" hidden="false" customHeight="false" outlineLevel="0" collapsed="false">
      <c r="A403" s="18" t="s">
        <v>3002</v>
      </c>
      <c r="B403" s="18" t="s">
        <v>106</v>
      </c>
      <c r="C403" s="18" t="s">
        <v>113</v>
      </c>
      <c r="D403" s="18" t="s">
        <v>33</v>
      </c>
      <c r="E403" s="18" t="s">
        <v>17</v>
      </c>
      <c r="F403" s="19" t="s">
        <v>3003</v>
      </c>
      <c r="G403" s="20" t="s">
        <v>3004</v>
      </c>
      <c r="H403" s="19" t="s">
        <v>3005</v>
      </c>
      <c r="I403" s="19" t="s">
        <v>3006</v>
      </c>
      <c r="J403" s="19" t="s">
        <v>3007</v>
      </c>
      <c r="K403" s="19" t="s">
        <v>3008</v>
      </c>
      <c r="L403" s="19" t="s">
        <v>3009</v>
      </c>
      <c r="M403" s="19"/>
      <c r="N403" s="19"/>
      <c r="O403" s="19" t="s">
        <v>142</v>
      </c>
      <c r="P403" s="19" t="s">
        <v>143</v>
      </c>
      <c r="Q403" s="19"/>
      <c r="R403" s="19"/>
      <c r="S403" s="19"/>
      <c r="T403" s="19"/>
    </row>
    <row r="404" customFormat="false" ht="23.85" hidden="false" customHeight="false" outlineLevel="0" collapsed="false">
      <c r="A404" s="18" t="s">
        <v>3010</v>
      </c>
      <c r="B404" s="18" t="s">
        <v>106</v>
      </c>
      <c r="C404" s="18" t="s">
        <v>113</v>
      </c>
      <c r="D404" s="18" t="s">
        <v>33</v>
      </c>
      <c r="E404" s="18" t="s">
        <v>17</v>
      </c>
      <c r="F404" s="19" t="s">
        <v>3011</v>
      </c>
      <c r="G404" s="19"/>
      <c r="H404" s="19" t="s">
        <v>3012</v>
      </c>
      <c r="I404" s="19" t="s">
        <v>3013</v>
      </c>
      <c r="J404" s="19" t="s">
        <v>3014</v>
      </c>
      <c r="K404" s="19" t="s">
        <v>3015</v>
      </c>
      <c r="L404" s="19" t="s">
        <v>3016</v>
      </c>
      <c r="M404" s="19"/>
      <c r="N404" s="19"/>
      <c r="O404" s="19" t="s">
        <v>142</v>
      </c>
      <c r="P404" s="19" t="s">
        <v>143</v>
      </c>
      <c r="Q404" s="19"/>
      <c r="R404" s="19"/>
      <c r="S404" s="19"/>
      <c r="T404" s="19"/>
    </row>
    <row r="405" customFormat="false" ht="74.6" hidden="false" customHeight="false" outlineLevel="0" collapsed="false">
      <c r="A405" s="18" t="s">
        <v>3017</v>
      </c>
      <c r="B405" s="18" t="s">
        <v>106</v>
      </c>
      <c r="C405" s="18" t="s">
        <v>113</v>
      </c>
      <c r="D405" s="18" t="s">
        <v>34</v>
      </c>
      <c r="E405" s="18" t="s">
        <v>17</v>
      </c>
      <c r="F405" s="19" t="s">
        <v>3018</v>
      </c>
      <c r="G405" s="20" t="s">
        <v>3019</v>
      </c>
      <c r="H405" s="19" t="s">
        <v>3020</v>
      </c>
      <c r="I405" s="19" t="s">
        <v>2999</v>
      </c>
      <c r="J405" s="19" t="s">
        <v>3021</v>
      </c>
      <c r="K405" s="19" t="s">
        <v>3000</v>
      </c>
      <c r="L405" s="19" t="s">
        <v>3022</v>
      </c>
      <c r="M405" s="19"/>
      <c r="N405" s="19"/>
      <c r="O405" s="19" t="s">
        <v>142</v>
      </c>
      <c r="P405" s="19" t="s">
        <v>143</v>
      </c>
      <c r="Q405" s="19"/>
      <c r="R405" s="19"/>
      <c r="S405" s="19"/>
      <c r="T405" s="19"/>
    </row>
    <row r="406" customFormat="false" ht="23.85" hidden="false" customHeight="false" outlineLevel="0" collapsed="false">
      <c r="A406" s="18" t="s">
        <v>3023</v>
      </c>
      <c r="B406" s="18" t="s">
        <v>106</v>
      </c>
      <c r="C406" s="18" t="s">
        <v>113</v>
      </c>
      <c r="D406" s="18" t="s">
        <v>34</v>
      </c>
      <c r="E406" s="18" t="s">
        <v>17</v>
      </c>
      <c r="F406" s="19" t="s">
        <v>3024</v>
      </c>
      <c r="G406" s="19"/>
      <c r="H406" s="19" t="s">
        <v>3021</v>
      </c>
      <c r="I406" s="19" t="s">
        <v>3025</v>
      </c>
      <c r="J406" s="19" t="s">
        <v>2351</v>
      </c>
      <c r="K406" s="19" t="s">
        <v>3026</v>
      </c>
      <c r="L406" s="19" t="s">
        <v>3027</v>
      </c>
      <c r="M406" s="19"/>
      <c r="N406" s="19"/>
      <c r="O406" s="19" t="s">
        <v>142</v>
      </c>
      <c r="P406" s="19" t="s">
        <v>143</v>
      </c>
      <c r="Q406" s="19"/>
      <c r="R406" s="19"/>
      <c r="S406" s="19"/>
      <c r="T406" s="19"/>
    </row>
    <row r="407" customFormat="false" ht="74.6" hidden="false" customHeight="false" outlineLevel="0" collapsed="false">
      <c r="A407" s="18" t="s">
        <v>3028</v>
      </c>
      <c r="B407" s="18" t="s">
        <v>106</v>
      </c>
      <c r="C407" s="18" t="s">
        <v>113</v>
      </c>
      <c r="D407" s="18" t="s">
        <v>34</v>
      </c>
      <c r="E407" s="18" t="s">
        <v>17</v>
      </c>
      <c r="F407" s="19" t="s">
        <v>3029</v>
      </c>
      <c r="G407" s="20" t="s">
        <v>3030</v>
      </c>
      <c r="H407" s="19" t="s">
        <v>3031</v>
      </c>
      <c r="I407" s="19" t="s">
        <v>3032</v>
      </c>
      <c r="J407" s="19" t="s">
        <v>3033</v>
      </c>
      <c r="K407" s="19" t="s">
        <v>631</v>
      </c>
      <c r="L407" s="19" t="s">
        <v>3034</v>
      </c>
      <c r="M407" s="19"/>
      <c r="N407" s="19"/>
      <c r="O407" s="19" t="s">
        <v>142</v>
      </c>
      <c r="P407" s="19" t="s">
        <v>143</v>
      </c>
      <c r="Q407" s="19"/>
      <c r="R407" s="19"/>
      <c r="S407" s="19"/>
      <c r="T407" s="19"/>
    </row>
    <row r="408" customFormat="false" ht="35.05" hidden="false" customHeight="false" outlineLevel="0" collapsed="false">
      <c r="A408" s="18" t="s">
        <v>3035</v>
      </c>
      <c r="B408" s="18" t="s">
        <v>106</v>
      </c>
      <c r="C408" s="18" t="s">
        <v>113</v>
      </c>
      <c r="D408" s="18" t="s">
        <v>34</v>
      </c>
      <c r="E408" s="18" t="s">
        <v>17</v>
      </c>
      <c r="F408" s="19" t="s">
        <v>3036</v>
      </c>
      <c r="G408" s="19"/>
      <c r="H408" s="19" t="s">
        <v>3037</v>
      </c>
      <c r="I408" s="19" t="s">
        <v>2994</v>
      </c>
      <c r="J408" s="19" t="s">
        <v>2351</v>
      </c>
      <c r="K408" s="19" t="s">
        <v>3038</v>
      </c>
      <c r="L408" s="19" t="s">
        <v>3039</v>
      </c>
      <c r="M408" s="19"/>
      <c r="N408" s="19"/>
      <c r="O408" s="19" t="s">
        <v>142</v>
      </c>
      <c r="P408" s="19" t="s">
        <v>143</v>
      </c>
      <c r="Q408" s="19"/>
      <c r="R408" s="19"/>
      <c r="S408" s="19"/>
      <c r="T408" s="19"/>
    </row>
    <row r="409" customFormat="false" ht="35.05" hidden="false" customHeight="false" outlineLevel="0" collapsed="false">
      <c r="A409" s="18" t="s">
        <v>3040</v>
      </c>
      <c r="B409" s="18" t="s">
        <v>106</v>
      </c>
      <c r="C409" s="18" t="s">
        <v>113</v>
      </c>
      <c r="D409" s="18" t="s">
        <v>35</v>
      </c>
      <c r="E409" s="18" t="s">
        <v>17</v>
      </c>
      <c r="F409" s="19" t="s">
        <v>3041</v>
      </c>
      <c r="G409" s="19"/>
      <c r="H409" s="19" t="s">
        <v>3042</v>
      </c>
      <c r="I409" s="19" t="s">
        <v>3043</v>
      </c>
      <c r="J409" s="19" t="s">
        <v>3044</v>
      </c>
      <c r="K409" s="19" t="s">
        <v>3045</v>
      </c>
      <c r="L409" s="19" t="s">
        <v>3046</v>
      </c>
      <c r="M409" s="19"/>
      <c r="N409" s="19"/>
      <c r="O409" s="19" t="s">
        <v>142</v>
      </c>
      <c r="P409" s="19" t="s">
        <v>143</v>
      </c>
      <c r="Q409" s="19"/>
      <c r="R409" s="19"/>
      <c r="S409" s="19"/>
      <c r="T409" s="19"/>
    </row>
    <row r="410" customFormat="false" ht="116.4" hidden="false" customHeight="false" outlineLevel="0" collapsed="false">
      <c r="A410" s="18" t="s">
        <v>3047</v>
      </c>
      <c r="B410" s="18" t="s">
        <v>106</v>
      </c>
      <c r="C410" s="18" t="s">
        <v>113</v>
      </c>
      <c r="D410" s="18" t="s">
        <v>35</v>
      </c>
      <c r="E410" s="18" t="s">
        <v>17</v>
      </c>
      <c r="F410" s="19" t="s">
        <v>3048</v>
      </c>
      <c r="G410" s="20" t="s">
        <v>3049</v>
      </c>
      <c r="H410" s="19" t="s">
        <v>3050</v>
      </c>
      <c r="I410" s="19" t="s">
        <v>3051</v>
      </c>
      <c r="J410" s="19" t="s">
        <v>3052</v>
      </c>
      <c r="K410" s="19" t="s">
        <v>3053</v>
      </c>
      <c r="L410" s="19" t="s">
        <v>3054</v>
      </c>
      <c r="M410" s="19"/>
      <c r="N410" s="19"/>
      <c r="O410" s="19" t="s">
        <v>142</v>
      </c>
      <c r="P410" s="19" t="s">
        <v>143</v>
      </c>
      <c r="Q410" s="19"/>
      <c r="R410" s="19"/>
      <c r="S410" s="19"/>
      <c r="T410" s="19"/>
    </row>
    <row r="411" customFormat="false" ht="23.85" hidden="false" customHeight="false" outlineLevel="0" collapsed="false">
      <c r="A411" s="18" t="s">
        <v>3055</v>
      </c>
      <c r="B411" s="18" t="s">
        <v>106</v>
      </c>
      <c r="C411" s="18" t="s">
        <v>113</v>
      </c>
      <c r="D411" s="18" t="s">
        <v>35</v>
      </c>
      <c r="E411" s="18" t="s">
        <v>17</v>
      </c>
      <c r="F411" s="19" t="s">
        <v>3056</v>
      </c>
      <c r="G411" s="19"/>
      <c r="H411" s="19" t="s">
        <v>3057</v>
      </c>
      <c r="I411" s="19" t="s">
        <v>3058</v>
      </c>
      <c r="J411" s="19" t="s">
        <v>3059</v>
      </c>
      <c r="K411" s="19" t="s">
        <v>3060</v>
      </c>
      <c r="L411" s="19" t="s">
        <v>3061</v>
      </c>
      <c r="M411" s="19"/>
      <c r="N411" s="19"/>
      <c r="O411" s="19" t="s">
        <v>142</v>
      </c>
      <c r="P411" s="19" t="s">
        <v>143</v>
      </c>
      <c r="Q411" s="19"/>
      <c r="R411" s="19"/>
      <c r="S411" s="19"/>
      <c r="T411" s="19"/>
    </row>
    <row r="412" customFormat="false" ht="23.85" hidden="false" customHeight="false" outlineLevel="0" collapsed="false">
      <c r="A412" s="18" t="s">
        <v>3062</v>
      </c>
      <c r="B412" s="18" t="s">
        <v>106</v>
      </c>
      <c r="C412" s="18" t="s">
        <v>113</v>
      </c>
      <c r="D412" s="18" t="s">
        <v>35</v>
      </c>
      <c r="E412" s="18" t="s">
        <v>17</v>
      </c>
      <c r="F412" s="19" t="s">
        <v>3063</v>
      </c>
      <c r="G412" s="19"/>
      <c r="H412" s="19" t="s">
        <v>3064</v>
      </c>
      <c r="I412" s="19" t="s">
        <v>3065</v>
      </c>
      <c r="J412" s="19" t="s">
        <v>3066</v>
      </c>
      <c r="K412" s="19" t="s">
        <v>3067</v>
      </c>
      <c r="L412" s="19" t="s">
        <v>3068</v>
      </c>
      <c r="M412" s="19"/>
      <c r="N412" s="19"/>
      <c r="O412" s="19" t="s">
        <v>142</v>
      </c>
      <c r="P412" s="19" t="s">
        <v>143</v>
      </c>
      <c r="Q412" s="19"/>
      <c r="R412" s="19"/>
      <c r="S412" s="19"/>
      <c r="T412" s="19"/>
    </row>
    <row r="413" customFormat="false" ht="23.85" hidden="false" customHeight="false" outlineLevel="0" collapsed="false">
      <c r="A413" s="18" t="s">
        <v>3069</v>
      </c>
      <c r="B413" s="18" t="s">
        <v>115</v>
      </c>
      <c r="C413" s="18" t="s">
        <v>116</v>
      </c>
      <c r="D413" s="18" t="s">
        <v>33</v>
      </c>
      <c r="E413" s="18" t="s">
        <v>17</v>
      </c>
      <c r="F413" s="19" t="s">
        <v>3070</v>
      </c>
      <c r="G413" s="19"/>
      <c r="H413" s="19" t="s">
        <v>3071</v>
      </c>
      <c r="I413" s="19" t="s">
        <v>3072</v>
      </c>
      <c r="J413" s="19" t="s">
        <v>3073</v>
      </c>
      <c r="K413" s="19" t="s">
        <v>3074</v>
      </c>
      <c r="L413" s="19" t="s">
        <v>3075</v>
      </c>
      <c r="M413" s="19"/>
      <c r="N413" s="19"/>
      <c r="O413" s="19" t="s">
        <v>142</v>
      </c>
      <c r="P413" s="19" t="s">
        <v>143</v>
      </c>
      <c r="Q413" s="19"/>
      <c r="R413" s="19"/>
      <c r="S413" s="19"/>
      <c r="T413" s="19"/>
    </row>
    <row r="414" customFormat="false" ht="23.85" hidden="false" customHeight="false" outlineLevel="0" collapsed="false">
      <c r="A414" s="18" t="s">
        <v>3076</v>
      </c>
      <c r="B414" s="18" t="s">
        <v>115</v>
      </c>
      <c r="C414" s="18" t="s">
        <v>116</v>
      </c>
      <c r="D414" s="18" t="s">
        <v>33</v>
      </c>
      <c r="E414" s="18" t="s">
        <v>17</v>
      </c>
      <c r="F414" s="19" t="s">
        <v>3077</v>
      </c>
      <c r="G414" s="19"/>
      <c r="H414" s="19" t="s">
        <v>3078</v>
      </c>
      <c r="I414" s="19" t="s">
        <v>3079</v>
      </c>
      <c r="J414" s="19" t="s">
        <v>3080</v>
      </c>
      <c r="K414" s="19" t="s">
        <v>3081</v>
      </c>
      <c r="L414" s="19" t="s">
        <v>3082</v>
      </c>
      <c r="M414" s="19"/>
      <c r="N414" s="19"/>
      <c r="O414" s="19" t="s">
        <v>142</v>
      </c>
      <c r="P414" s="19" t="s">
        <v>143</v>
      </c>
      <c r="Q414" s="19"/>
      <c r="R414" s="19"/>
      <c r="S414" s="19"/>
      <c r="T414" s="19"/>
    </row>
    <row r="415" customFormat="false" ht="53.7" hidden="false" customHeight="false" outlineLevel="0" collapsed="false">
      <c r="A415" s="18" t="s">
        <v>3083</v>
      </c>
      <c r="B415" s="18" t="s">
        <v>115</v>
      </c>
      <c r="C415" s="18" t="s">
        <v>116</v>
      </c>
      <c r="D415" s="18" t="s">
        <v>33</v>
      </c>
      <c r="E415" s="18" t="s">
        <v>17</v>
      </c>
      <c r="F415" s="19" t="s">
        <v>3084</v>
      </c>
      <c r="G415" s="20" t="s">
        <v>3085</v>
      </c>
      <c r="H415" s="19" t="s">
        <v>3086</v>
      </c>
      <c r="I415" s="19" t="s">
        <v>3087</v>
      </c>
      <c r="J415" s="19" t="s">
        <v>3088</v>
      </c>
      <c r="K415" s="19" t="s">
        <v>3089</v>
      </c>
      <c r="L415" s="19" t="s">
        <v>3090</v>
      </c>
      <c r="M415" s="19"/>
      <c r="N415" s="19"/>
      <c r="O415" s="19" t="s">
        <v>142</v>
      </c>
      <c r="P415" s="19" t="s">
        <v>143</v>
      </c>
      <c r="Q415" s="19"/>
      <c r="R415" s="19"/>
      <c r="S415" s="19"/>
      <c r="T415" s="19"/>
    </row>
    <row r="416" customFormat="false" ht="23.85" hidden="false" customHeight="false" outlineLevel="0" collapsed="false">
      <c r="A416" s="18" t="s">
        <v>3091</v>
      </c>
      <c r="B416" s="18" t="s">
        <v>115</v>
      </c>
      <c r="C416" s="18" t="s">
        <v>116</v>
      </c>
      <c r="D416" s="18" t="s">
        <v>33</v>
      </c>
      <c r="E416" s="18" t="s">
        <v>19</v>
      </c>
      <c r="F416" s="19" t="s">
        <v>3092</v>
      </c>
      <c r="G416" s="19"/>
      <c r="H416" s="19" t="s">
        <v>3093</v>
      </c>
      <c r="I416" s="19" t="s">
        <v>3094</v>
      </c>
      <c r="J416" s="19" t="s">
        <v>3095</v>
      </c>
      <c r="K416" s="19" t="s">
        <v>3096</v>
      </c>
      <c r="L416" s="19" t="s">
        <v>3097</v>
      </c>
      <c r="M416" s="19"/>
      <c r="N416" s="19"/>
      <c r="O416" s="19" t="s">
        <v>142</v>
      </c>
      <c r="P416" s="19" t="s">
        <v>143</v>
      </c>
      <c r="Q416" s="19"/>
      <c r="R416" s="19"/>
      <c r="S416" s="19"/>
      <c r="T416" s="19"/>
    </row>
    <row r="417" customFormat="false" ht="23.85" hidden="false" customHeight="false" outlineLevel="0" collapsed="false">
      <c r="A417" s="18" t="s">
        <v>3098</v>
      </c>
      <c r="B417" s="18" t="s">
        <v>115</v>
      </c>
      <c r="C417" s="18" t="s">
        <v>116</v>
      </c>
      <c r="D417" s="18" t="s">
        <v>34</v>
      </c>
      <c r="E417" s="18" t="s">
        <v>17</v>
      </c>
      <c r="F417" s="19" t="s">
        <v>3099</v>
      </c>
      <c r="G417" s="19"/>
      <c r="H417" s="19" t="s">
        <v>3100</v>
      </c>
      <c r="I417" s="19" t="s">
        <v>3101</v>
      </c>
      <c r="J417" s="19" t="s">
        <v>3102</v>
      </c>
      <c r="K417" s="19" t="s">
        <v>3103</v>
      </c>
      <c r="L417" s="19" t="s">
        <v>3104</v>
      </c>
      <c r="M417" s="19"/>
      <c r="N417" s="19"/>
      <c r="O417" s="19" t="s">
        <v>142</v>
      </c>
      <c r="P417" s="19" t="s">
        <v>143</v>
      </c>
      <c r="Q417" s="19"/>
      <c r="R417" s="19"/>
      <c r="S417" s="19"/>
      <c r="T417" s="19"/>
    </row>
    <row r="418" customFormat="false" ht="23.85" hidden="false" customHeight="false" outlineLevel="0" collapsed="false">
      <c r="A418" s="18" t="s">
        <v>3105</v>
      </c>
      <c r="B418" s="18" t="s">
        <v>115</v>
      </c>
      <c r="C418" s="18" t="s">
        <v>116</v>
      </c>
      <c r="D418" s="18" t="s">
        <v>34</v>
      </c>
      <c r="E418" s="18" t="s">
        <v>17</v>
      </c>
      <c r="F418" s="19" t="s">
        <v>3106</v>
      </c>
      <c r="G418" s="19"/>
      <c r="H418" s="19" t="s">
        <v>3107</v>
      </c>
      <c r="I418" s="19" t="s">
        <v>3108</v>
      </c>
      <c r="J418" s="19" t="s">
        <v>3109</v>
      </c>
      <c r="K418" s="19" t="s">
        <v>3110</v>
      </c>
      <c r="L418" s="19" t="s">
        <v>3111</v>
      </c>
      <c r="M418" s="19"/>
      <c r="N418" s="19"/>
      <c r="O418" s="19" t="s">
        <v>142</v>
      </c>
      <c r="P418" s="19" t="s">
        <v>143</v>
      </c>
      <c r="Q418" s="19"/>
      <c r="R418" s="19"/>
      <c r="S418" s="19"/>
      <c r="T418" s="19"/>
    </row>
    <row r="419" customFormat="false" ht="46.25" hidden="false" customHeight="false" outlineLevel="0" collapsed="false">
      <c r="A419" s="18" t="s">
        <v>3112</v>
      </c>
      <c r="B419" s="18" t="s">
        <v>115</v>
      </c>
      <c r="C419" s="18" t="s">
        <v>116</v>
      </c>
      <c r="D419" s="18" t="s">
        <v>34</v>
      </c>
      <c r="E419" s="18" t="s">
        <v>17</v>
      </c>
      <c r="F419" s="19" t="s">
        <v>3113</v>
      </c>
      <c r="G419" s="19"/>
      <c r="H419" s="19" t="s">
        <v>3114</v>
      </c>
      <c r="I419" s="19" t="s">
        <v>1684</v>
      </c>
      <c r="J419" s="19" t="s">
        <v>3115</v>
      </c>
      <c r="K419" s="19" t="s">
        <v>3116</v>
      </c>
      <c r="L419" s="19" t="s">
        <v>3117</v>
      </c>
      <c r="M419" s="19"/>
      <c r="N419" s="19"/>
      <c r="O419" s="19" t="s">
        <v>142</v>
      </c>
      <c r="P419" s="19" t="s">
        <v>143</v>
      </c>
      <c r="Q419" s="19"/>
      <c r="R419" s="19"/>
      <c r="S419" s="19"/>
      <c r="T419" s="19"/>
    </row>
    <row r="420" customFormat="false" ht="46.25" hidden="false" customHeight="false" outlineLevel="0" collapsed="false">
      <c r="A420" s="18" t="s">
        <v>3118</v>
      </c>
      <c r="B420" s="18" t="s">
        <v>115</v>
      </c>
      <c r="C420" s="18" t="s">
        <v>116</v>
      </c>
      <c r="D420" s="18" t="s">
        <v>34</v>
      </c>
      <c r="E420" s="18" t="s">
        <v>21</v>
      </c>
      <c r="F420" s="19" t="s">
        <v>3119</v>
      </c>
      <c r="G420" s="19"/>
      <c r="H420" s="19" t="s">
        <v>3120</v>
      </c>
      <c r="I420" s="19"/>
      <c r="J420" s="19"/>
      <c r="K420" s="19"/>
      <c r="L420" s="19" t="s">
        <v>3121</v>
      </c>
      <c r="M420" s="19"/>
      <c r="N420" s="19"/>
      <c r="O420" s="19" t="s">
        <v>142</v>
      </c>
      <c r="P420" s="19" t="s">
        <v>143</v>
      </c>
      <c r="Q420" s="19"/>
      <c r="R420" s="19"/>
      <c r="S420" s="19"/>
      <c r="T420" s="19"/>
    </row>
    <row r="421" customFormat="false" ht="35.05" hidden="false" customHeight="false" outlineLevel="0" collapsed="false">
      <c r="A421" s="18" t="s">
        <v>3122</v>
      </c>
      <c r="B421" s="18" t="s">
        <v>115</v>
      </c>
      <c r="C421" s="18" t="s">
        <v>116</v>
      </c>
      <c r="D421" s="18" t="s">
        <v>35</v>
      </c>
      <c r="E421" s="18" t="s">
        <v>17</v>
      </c>
      <c r="F421" s="19" t="s">
        <v>3123</v>
      </c>
      <c r="G421" s="19"/>
      <c r="H421" s="19" t="s">
        <v>3124</v>
      </c>
      <c r="I421" s="19" t="s">
        <v>2921</v>
      </c>
      <c r="J421" s="19" t="s">
        <v>3125</v>
      </c>
      <c r="K421" s="19" t="s">
        <v>1261</v>
      </c>
      <c r="L421" s="19" t="s">
        <v>3126</v>
      </c>
      <c r="M421" s="19"/>
      <c r="N421" s="19"/>
      <c r="O421" s="19" t="s">
        <v>142</v>
      </c>
      <c r="P421" s="19" t="s">
        <v>143</v>
      </c>
      <c r="Q421" s="19"/>
      <c r="R421" s="19"/>
      <c r="S421" s="19"/>
      <c r="T421" s="19"/>
    </row>
    <row r="422" customFormat="false" ht="35.05" hidden="false" customHeight="false" outlineLevel="0" collapsed="false">
      <c r="A422" s="18" t="s">
        <v>3127</v>
      </c>
      <c r="B422" s="18" t="s">
        <v>115</v>
      </c>
      <c r="C422" s="18" t="s">
        <v>116</v>
      </c>
      <c r="D422" s="18" t="s">
        <v>35</v>
      </c>
      <c r="E422" s="18" t="s">
        <v>17</v>
      </c>
      <c r="F422" s="19" t="s">
        <v>3128</v>
      </c>
      <c r="G422" s="20" t="s">
        <v>3129</v>
      </c>
      <c r="H422" s="19" t="s">
        <v>3130</v>
      </c>
      <c r="I422" s="19" t="s">
        <v>3131</v>
      </c>
      <c r="J422" s="19" t="s">
        <v>3132</v>
      </c>
      <c r="K422" s="19" t="s">
        <v>3133</v>
      </c>
      <c r="L422" s="19" t="s">
        <v>3134</v>
      </c>
      <c r="M422" s="19"/>
      <c r="N422" s="19"/>
      <c r="O422" s="19" t="s">
        <v>142</v>
      </c>
      <c r="P422" s="19" t="s">
        <v>143</v>
      </c>
      <c r="Q422" s="19"/>
      <c r="R422" s="19"/>
      <c r="S422" s="19"/>
      <c r="T422" s="19"/>
    </row>
    <row r="423" customFormat="false" ht="23.85" hidden="false" customHeight="false" outlineLevel="0" collapsed="false">
      <c r="A423" s="18" t="s">
        <v>3135</v>
      </c>
      <c r="B423" s="18" t="s">
        <v>115</v>
      </c>
      <c r="C423" s="18" t="s">
        <v>116</v>
      </c>
      <c r="D423" s="18" t="s">
        <v>35</v>
      </c>
      <c r="E423" s="18" t="s">
        <v>17</v>
      </c>
      <c r="F423" s="19" t="s">
        <v>3136</v>
      </c>
      <c r="G423" s="19"/>
      <c r="H423" s="19" t="s">
        <v>3137</v>
      </c>
      <c r="I423" s="19" t="s">
        <v>1600</v>
      </c>
      <c r="J423" s="19" t="s">
        <v>3138</v>
      </c>
      <c r="K423" s="19" t="s">
        <v>3139</v>
      </c>
      <c r="L423" s="19" t="s">
        <v>3140</v>
      </c>
      <c r="M423" s="19"/>
      <c r="N423" s="19"/>
      <c r="O423" s="19" t="s">
        <v>142</v>
      </c>
      <c r="P423" s="19" t="s">
        <v>143</v>
      </c>
      <c r="Q423" s="19"/>
      <c r="R423" s="19"/>
      <c r="S423" s="19"/>
      <c r="T423" s="19"/>
    </row>
    <row r="424" customFormat="false" ht="23.85" hidden="false" customHeight="false" outlineLevel="0" collapsed="false">
      <c r="A424" s="18" t="s">
        <v>3141</v>
      </c>
      <c r="B424" s="18" t="s">
        <v>115</v>
      </c>
      <c r="C424" s="18" t="s">
        <v>116</v>
      </c>
      <c r="D424" s="18" t="s">
        <v>35</v>
      </c>
      <c r="E424" s="18" t="s">
        <v>17</v>
      </c>
      <c r="F424" s="19" t="s">
        <v>3142</v>
      </c>
      <c r="G424" s="19"/>
      <c r="H424" s="19" t="s">
        <v>3143</v>
      </c>
      <c r="I424" s="19" t="s">
        <v>3144</v>
      </c>
      <c r="J424" s="19" t="s">
        <v>3145</v>
      </c>
      <c r="K424" s="19" t="s">
        <v>3146</v>
      </c>
      <c r="L424" s="19" t="s">
        <v>3147</v>
      </c>
      <c r="M424" s="19"/>
      <c r="N424" s="19"/>
      <c r="O424" s="19" t="s">
        <v>142</v>
      </c>
      <c r="P424" s="19" t="s">
        <v>143</v>
      </c>
      <c r="Q424" s="19"/>
      <c r="R424" s="19"/>
      <c r="S424" s="19"/>
      <c r="T424" s="19"/>
    </row>
    <row r="425" customFormat="false" ht="35.05" hidden="false" customHeight="false" outlineLevel="0" collapsed="false">
      <c r="A425" s="18" t="s">
        <v>3148</v>
      </c>
      <c r="B425" s="18" t="s">
        <v>115</v>
      </c>
      <c r="C425" s="18" t="s">
        <v>118</v>
      </c>
      <c r="D425" s="18" t="s">
        <v>33</v>
      </c>
      <c r="E425" s="18" t="s">
        <v>17</v>
      </c>
      <c r="F425" s="19" t="s">
        <v>1920</v>
      </c>
      <c r="G425" s="19"/>
      <c r="H425" s="19" t="s">
        <v>1921</v>
      </c>
      <c r="I425" s="19" t="s">
        <v>1113</v>
      </c>
      <c r="J425" s="19" t="s">
        <v>1922</v>
      </c>
      <c r="K425" s="19" t="s">
        <v>1923</v>
      </c>
      <c r="L425" s="19" t="s">
        <v>1924</v>
      </c>
      <c r="M425" s="19"/>
      <c r="N425" s="19"/>
      <c r="O425" s="19" t="s">
        <v>142</v>
      </c>
      <c r="P425" s="19" t="s">
        <v>143</v>
      </c>
      <c r="Q425" s="19"/>
      <c r="R425" s="19"/>
      <c r="S425" s="19"/>
      <c r="T425" s="19"/>
    </row>
    <row r="426" customFormat="false" ht="23.85" hidden="false" customHeight="false" outlineLevel="0" collapsed="false">
      <c r="A426" s="18" t="s">
        <v>3149</v>
      </c>
      <c r="B426" s="18" t="s">
        <v>115</v>
      </c>
      <c r="C426" s="18" t="s">
        <v>118</v>
      </c>
      <c r="D426" s="18" t="s">
        <v>33</v>
      </c>
      <c r="E426" s="18" t="s">
        <v>17</v>
      </c>
      <c r="F426" s="19" t="s">
        <v>3150</v>
      </c>
      <c r="G426" s="19"/>
      <c r="H426" s="19" t="s">
        <v>3151</v>
      </c>
      <c r="I426" s="19" t="s">
        <v>3152</v>
      </c>
      <c r="J426" s="19" t="s">
        <v>3153</v>
      </c>
      <c r="K426" s="19" t="s">
        <v>3154</v>
      </c>
      <c r="L426" s="19" t="s">
        <v>3155</v>
      </c>
      <c r="M426" s="19"/>
      <c r="N426" s="19"/>
      <c r="O426" s="19" t="s">
        <v>142</v>
      </c>
      <c r="P426" s="19" t="s">
        <v>143</v>
      </c>
      <c r="Q426" s="19"/>
      <c r="R426" s="19"/>
      <c r="S426" s="19"/>
      <c r="T426" s="19"/>
    </row>
    <row r="427" customFormat="false" ht="23.85" hidden="false" customHeight="false" outlineLevel="0" collapsed="false">
      <c r="A427" s="18" t="s">
        <v>3156</v>
      </c>
      <c r="B427" s="18" t="s">
        <v>115</v>
      </c>
      <c r="C427" s="18" t="s">
        <v>118</v>
      </c>
      <c r="D427" s="18" t="s">
        <v>33</v>
      </c>
      <c r="E427" s="18" t="s">
        <v>17</v>
      </c>
      <c r="F427" s="19" t="s">
        <v>3157</v>
      </c>
      <c r="G427" s="20" t="s">
        <v>3158</v>
      </c>
      <c r="H427" s="19" t="s">
        <v>3159</v>
      </c>
      <c r="I427" s="19" t="s">
        <v>3160</v>
      </c>
      <c r="J427" s="19" t="s">
        <v>3161</v>
      </c>
      <c r="K427" s="19" t="s">
        <v>3162</v>
      </c>
      <c r="L427" s="19" t="s">
        <v>3163</v>
      </c>
      <c r="M427" s="19"/>
      <c r="N427" s="19"/>
      <c r="O427" s="19" t="s">
        <v>142</v>
      </c>
      <c r="P427" s="19" t="s">
        <v>143</v>
      </c>
      <c r="Q427" s="19"/>
      <c r="R427" s="19"/>
      <c r="S427" s="19"/>
      <c r="T427" s="19"/>
    </row>
    <row r="428" customFormat="false" ht="23.85" hidden="false" customHeight="false" outlineLevel="0" collapsed="false">
      <c r="A428" s="18" t="s">
        <v>3164</v>
      </c>
      <c r="B428" s="18" t="s">
        <v>115</v>
      </c>
      <c r="C428" s="18" t="s">
        <v>118</v>
      </c>
      <c r="D428" s="18" t="s">
        <v>33</v>
      </c>
      <c r="E428" s="18" t="s">
        <v>19</v>
      </c>
      <c r="F428" s="19" t="s">
        <v>3165</v>
      </c>
      <c r="G428" s="19"/>
      <c r="H428" s="19" t="s">
        <v>3166</v>
      </c>
      <c r="I428" s="19" t="s">
        <v>3167</v>
      </c>
      <c r="J428" s="19" t="s">
        <v>3168</v>
      </c>
      <c r="K428" s="19" t="s">
        <v>3169</v>
      </c>
      <c r="L428" s="19" t="s">
        <v>3170</v>
      </c>
      <c r="M428" s="19"/>
      <c r="N428" s="19"/>
      <c r="O428" s="19" t="s">
        <v>142</v>
      </c>
      <c r="P428" s="19" t="s">
        <v>143</v>
      </c>
      <c r="Q428" s="19"/>
      <c r="R428" s="19"/>
      <c r="S428" s="19"/>
      <c r="T428" s="19"/>
    </row>
    <row r="429" customFormat="false" ht="23.85" hidden="false" customHeight="false" outlineLevel="0" collapsed="false">
      <c r="A429" s="18" t="s">
        <v>3171</v>
      </c>
      <c r="B429" s="18" t="s">
        <v>115</v>
      </c>
      <c r="C429" s="18" t="s">
        <v>118</v>
      </c>
      <c r="D429" s="18" t="s">
        <v>34</v>
      </c>
      <c r="E429" s="18" t="s">
        <v>17</v>
      </c>
      <c r="F429" s="19" t="s">
        <v>3172</v>
      </c>
      <c r="G429" s="19"/>
      <c r="H429" s="19" t="s">
        <v>3173</v>
      </c>
      <c r="I429" s="19" t="s">
        <v>1684</v>
      </c>
      <c r="J429" s="19" t="s">
        <v>3174</v>
      </c>
      <c r="K429" s="19" t="s">
        <v>3175</v>
      </c>
      <c r="L429" s="19" t="s">
        <v>3176</v>
      </c>
      <c r="M429" s="19"/>
      <c r="N429" s="19"/>
      <c r="O429" s="19" t="s">
        <v>142</v>
      </c>
      <c r="P429" s="19" t="s">
        <v>143</v>
      </c>
      <c r="Q429" s="19"/>
      <c r="R429" s="19"/>
      <c r="S429" s="19"/>
      <c r="T429" s="19"/>
    </row>
    <row r="430" customFormat="false" ht="95.5" hidden="false" customHeight="false" outlineLevel="0" collapsed="false">
      <c r="A430" s="18" t="s">
        <v>3177</v>
      </c>
      <c r="B430" s="18" t="s">
        <v>115</v>
      </c>
      <c r="C430" s="18" t="s">
        <v>118</v>
      </c>
      <c r="D430" s="18" t="s">
        <v>34</v>
      </c>
      <c r="E430" s="18" t="s">
        <v>17</v>
      </c>
      <c r="F430" s="19" t="s">
        <v>3178</v>
      </c>
      <c r="G430" s="20" t="s">
        <v>3179</v>
      </c>
      <c r="H430" s="19" t="s">
        <v>3180</v>
      </c>
      <c r="I430" s="19" t="s">
        <v>3181</v>
      </c>
      <c r="J430" s="19" t="s">
        <v>3182</v>
      </c>
      <c r="K430" s="19" t="s">
        <v>3183</v>
      </c>
      <c r="L430" s="19" t="s">
        <v>3184</v>
      </c>
      <c r="M430" s="19"/>
      <c r="N430" s="19"/>
      <c r="O430" s="19" t="s">
        <v>142</v>
      </c>
      <c r="P430" s="19" t="s">
        <v>143</v>
      </c>
      <c r="Q430" s="19"/>
      <c r="R430" s="19"/>
      <c r="S430" s="19"/>
      <c r="T430" s="19"/>
    </row>
    <row r="431" customFormat="false" ht="23.85" hidden="false" customHeight="false" outlineLevel="0" collapsed="false">
      <c r="A431" s="18" t="s">
        <v>3185</v>
      </c>
      <c r="B431" s="18" t="s">
        <v>115</v>
      </c>
      <c r="C431" s="18" t="s">
        <v>118</v>
      </c>
      <c r="D431" s="18" t="s">
        <v>34</v>
      </c>
      <c r="E431" s="18" t="s">
        <v>17</v>
      </c>
      <c r="F431" s="19" t="s">
        <v>3186</v>
      </c>
      <c r="G431" s="19"/>
      <c r="H431" s="19" t="s">
        <v>3187</v>
      </c>
      <c r="I431" s="19" t="s">
        <v>3188</v>
      </c>
      <c r="J431" s="19" t="s">
        <v>3189</v>
      </c>
      <c r="K431" s="19" t="s">
        <v>3190</v>
      </c>
      <c r="L431" s="19" t="s">
        <v>3191</v>
      </c>
      <c r="M431" s="19"/>
      <c r="N431" s="19"/>
      <c r="O431" s="19" t="s">
        <v>142</v>
      </c>
      <c r="P431" s="19" t="s">
        <v>143</v>
      </c>
      <c r="Q431" s="19"/>
      <c r="R431" s="19"/>
      <c r="S431" s="19"/>
      <c r="T431" s="19"/>
    </row>
    <row r="432" customFormat="false" ht="23.85" hidden="false" customHeight="false" outlineLevel="0" collapsed="false">
      <c r="A432" s="18" t="s">
        <v>3192</v>
      </c>
      <c r="B432" s="18" t="s">
        <v>115</v>
      </c>
      <c r="C432" s="18" t="s">
        <v>118</v>
      </c>
      <c r="D432" s="18" t="s">
        <v>34</v>
      </c>
      <c r="E432" s="18" t="s">
        <v>17</v>
      </c>
      <c r="F432" s="19" t="s">
        <v>3193</v>
      </c>
      <c r="G432" s="19"/>
      <c r="H432" s="19" t="s">
        <v>3194</v>
      </c>
      <c r="I432" s="19" t="s">
        <v>3195</v>
      </c>
      <c r="J432" s="19" t="s">
        <v>3196</v>
      </c>
      <c r="K432" s="19" t="s">
        <v>3197</v>
      </c>
      <c r="L432" s="19" t="s">
        <v>3198</v>
      </c>
      <c r="M432" s="19"/>
      <c r="N432" s="19"/>
      <c r="O432" s="19" t="s">
        <v>142</v>
      </c>
      <c r="P432" s="19" t="s">
        <v>143</v>
      </c>
      <c r="Q432" s="19"/>
      <c r="R432" s="19"/>
      <c r="S432" s="19"/>
      <c r="T432" s="19"/>
    </row>
    <row r="433" customFormat="false" ht="35.05" hidden="false" customHeight="false" outlineLevel="0" collapsed="false">
      <c r="A433" s="18" t="s">
        <v>3199</v>
      </c>
      <c r="B433" s="18" t="s">
        <v>115</v>
      </c>
      <c r="C433" s="18" t="s">
        <v>118</v>
      </c>
      <c r="D433" s="18" t="s">
        <v>35</v>
      </c>
      <c r="E433" s="18" t="s">
        <v>17</v>
      </c>
      <c r="F433" s="19" t="s">
        <v>3200</v>
      </c>
      <c r="G433" s="19"/>
      <c r="H433" s="19" t="s">
        <v>3201</v>
      </c>
      <c r="I433" s="19" t="s">
        <v>3202</v>
      </c>
      <c r="J433" s="19" t="s">
        <v>3203</v>
      </c>
      <c r="K433" s="19" t="s">
        <v>3204</v>
      </c>
      <c r="L433" s="19" t="s">
        <v>3205</v>
      </c>
      <c r="M433" s="19"/>
      <c r="N433" s="19"/>
      <c r="O433" s="19" t="s">
        <v>142</v>
      </c>
      <c r="P433" s="19" t="s">
        <v>143</v>
      </c>
      <c r="Q433" s="19"/>
      <c r="R433" s="19"/>
      <c r="S433" s="19"/>
      <c r="T433" s="19"/>
    </row>
    <row r="434" customFormat="false" ht="23.85" hidden="false" customHeight="false" outlineLevel="0" collapsed="false">
      <c r="A434" s="18" t="s">
        <v>3206</v>
      </c>
      <c r="B434" s="18" t="s">
        <v>115</v>
      </c>
      <c r="C434" s="18" t="s">
        <v>118</v>
      </c>
      <c r="D434" s="18" t="s">
        <v>35</v>
      </c>
      <c r="E434" s="18" t="s">
        <v>17</v>
      </c>
      <c r="F434" s="19" t="s">
        <v>3207</v>
      </c>
      <c r="G434" s="19"/>
      <c r="H434" s="19" t="s">
        <v>3208</v>
      </c>
      <c r="I434" s="19" t="s">
        <v>3209</v>
      </c>
      <c r="J434" s="19" t="s">
        <v>3210</v>
      </c>
      <c r="K434" s="19" t="s">
        <v>3211</v>
      </c>
      <c r="L434" s="19" t="s">
        <v>3212</v>
      </c>
      <c r="M434" s="19"/>
      <c r="N434" s="19"/>
      <c r="O434" s="19" t="s">
        <v>142</v>
      </c>
      <c r="P434" s="19" t="s">
        <v>143</v>
      </c>
      <c r="Q434" s="19"/>
      <c r="R434" s="19"/>
      <c r="S434" s="19"/>
      <c r="T434" s="19"/>
    </row>
    <row r="435" customFormat="false" ht="95.5" hidden="false" customHeight="false" outlineLevel="0" collapsed="false">
      <c r="A435" s="18" t="s">
        <v>3213</v>
      </c>
      <c r="B435" s="18" t="s">
        <v>115</v>
      </c>
      <c r="C435" s="18" t="s">
        <v>118</v>
      </c>
      <c r="D435" s="18" t="s">
        <v>35</v>
      </c>
      <c r="E435" s="18" t="s">
        <v>17</v>
      </c>
      <c r="F435" s="19" t="s">
        <v>3214</v>
      </c>
      <c r="G435" s="20" t="s">
        <v>3215</v>
      </c>
      <c r="H435" s="19" t="s">
        <v>3216</v>
      </c>
      <c r="I435" s="19" t="s">
        <v>3217</v>
      </c>
      <c r="J435" s="19" t="s">
        <v>3218</v>
      </c>
      <c r="K435" s="19" t="s">
        <v>900</v>
      </c>
      <c r="L435" s="19" t="s">
        <v>3219</v>
      </c>
      <c r="M435" s="19"/>
      <c r="N435" s="19"/>
      <c r="O435" s="19" t="s">
        <v>142</v>
      </c>
      <c r="P435" s="19" t="s">
        <v>143</v>
      </c>
      <c r="Q435" s="19"/>
      <c r="R435" s="19"/>
      <c r="S435" s="19"/>
      <c r="T435" s="19"/>
    </row>
    <row r="436" customFormat="false" ht="35.05" hidden="false" customHeight="false" outlineLevel="0" collapsed="false">
      <c r="A436" s="18" t="s">
        <v>3220</v>
      </c>
      <c r="B436" s="18" t="s">
        <v>115</v>
      </c>
      <c r="C436" s="18" t="s">
        <v>118</v>
      </c>
      <c r="D436" s="18" t="s">
        <v>35</v>
      </c>
      <c r="E436" s="18" t="s">
        <v>17</v>
      </c>
      <c r="F436" s="19" t="s">
        <v>3221</v>
      </c>
      <c r="G436" s="19"/>
      <c r="H436" s="19" t="s">
        <v>3222</v>
      </c>
      <c r="I436" s="19" t="s">
        <v>3223</v>
      </c>
      <c r="J436" s="19" t="s">
        <v>3224</v>
      </c>
      <c r="K436" s="19" t="s">
        <v>3225</v>
      </c>
      <c r="L436" s="19" t="s">
        <v>3226</v>
      </c>
      <c r="M436" s="19"/>
      <c r="N436" s="19"/>
      <c r="O436" s="19" t="s">
        <v>142</v>
      </c>
      <c r="P436" s="19" t="s">
        <v>143</v>
      </c>
      <c r="Q436" s="19"/>
      <c r="R436" s="19"/>
      <c r="S436" s="19"/>
      <c r="T436" s="19"/>
    </row>
  </sheetData>
  <autoFilter ref="A1:T436"/>
  <dataValidations count="4">
    <dataValidation allowBlank="false" errorStyle="stop" operator="between" showDropDown="false" showErrorMessage="false" showInputMessage="false" sqref="D2:D1436" type="list">
      <formula1>"Junior,Mid,Senior"</formula1>
      <formula2>0</formula2>
    </dataValidation>
    <dataValidation allowBlank="false" errorStyle="stop" operator="between" showDropDown="false" showErrorMessage="false" showInputMessage="false" sqref="E2:E1436" type="list">
      <formula1>"Elegir respuesta,Completar frase,Ordenar"</formula1>
      <formula2>0</formula2>
    </dataValidation>
    <dataValidation allowBlank="false" errorStyle="stop" operator="between" showDropDown="false" showErrorMessage="false" showInputMessage="false" sqref="O2:O1436" type="list">
      <formula1>"Pendiente de revisar,Revisada,Descartada"</formula1>
      <formula2>0</formula2>
    </dataValidation>
    <dataValidation allowBlank="false" errorStyle="stop" operator="between" showDropDown="false" showErrorMessage="false" showInputMessage="false" sqref="P2:P1436"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2026-10-14T15:00:19Z</dcterms:created>
  <dc:creator>openpyxl</dc:creator>
  <dc:description/>
  <dc:language>en-US</dc:language>
  <cp:lastModifiedBy/>
  <dcterms:modified xsi:type="dcterms:W3CDTF">2026-10-14T15:00:19Z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